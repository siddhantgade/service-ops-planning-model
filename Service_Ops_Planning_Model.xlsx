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Assumptions" sheetId="3" state="visible" r:id="rId5"/>
    <sheet name="Forecast" sheetId="4" state="visible" r:id="rId6"/>
    <sheet name="Capacity" sheetId="5" state="visible" r:id="rId7"/>
    <sheet name="Accuracy" sheetId="6" state="visible" r:id="rId8"/>
  </sheets>
  <definedNames>
    <definedName function="false" hidden="false" name="AHT_CALL" vbProcedure="false">Assumptions!$B$4</definedName>
    <definedName function="false" hidden="false" name="AHT_CASE" vbProcedure="false">Assumptions!$B$5</definedName>
    <definedName function="false" hidden="false" name="CHANGE_CASES" vbProcedure="false">Assumptions!$B$12</definedName>
    <definedName function="false" hidden="false" name="CONTRACT_HRS" vbProcedure="false">Assumptions!$B$6</definedName>
    <definedName function="false" hidden="false" name="OCC" vbProcedure="false">Assumptions!$B$8</definedName>
    <definedName function="false" hidden="false" name="OT_HRS" vbProcedure="false">Assumptions!$B$11</definedName>
    <definedName function="false" hidden="false" name="OUT_SHARE" vbProcedure="false">Assumptions!$B$9</definedName>
    <definedName function="false" hidden="false" name="PEAK_SHRINK" vbProcedure="false">Assumptions!$B$14</definedName>
    <definedName function="false" hidden="false" name="PEAK_UPLIFT" vbProcedure="false">Assumptions!$B$13</definedName>
    <definedName function="false" hidden="false" name="PROD_HRS" vbProcedure="false">Assumptions!$B$16</definedName>
    <definedName function="false" hidden="false" name="PROV_CAP" vbProcedure="false">Assumptions!$B$10</definedName>
    <definedName function="false" hidden="false" name="SHRINK" vbProcedure="false">Assumptions!$B$7</definedName>
    <definedName function="false" hidden="false" name="START_FTE" vbProcedure="false">Assumptions!$B$15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<sst xmlns="http://schemas.openxmlformats.org/spreadsheetml/2006/main" count="161" uniqueCount="105">
  <si>
    <t xml:space="preserve">Service Operations Planning Model</t>
  </si>
  <si>
    <t xml:space="preserve">What this is</t>
  </si>
  <si>
    <t xml:space="preserve">A demand forecast and workforce capacity model for a simulated financial services customer operations team (telephony and back-office cases).</t>
  </si>
  <si>
    <t xml:space="preserve">Data</t>
  </si>
  <si>
    <t xml:space="preserve">SIMULATED. All volumes, handling times, staffing levels and the provider cap are illustrative assumptions, not real organisational data.</t>
  </si>
  <si>
    <t xml:space="preserve">Forecast</t>
  </si>
  <si>
    <t xml:space="preserve">The 13-week forecast on the Forecast tab comes from the Python model (Holt-Winters). Re-run forecast_and_capacity.py to refresh it.</t>
  </si>
  <si>
    <t xml:space="preserve">Capacity</t>
  </si>
  <si>
    <t xml:space="preserve">The Capacity tab converts forecast demand into workload hours and required FTE for three scenarios, using the Assumptions tab. Everything there is a live formula.</t>
  </si>
  <si>
    <t xml:space="preserve">How to use</t>
  </si>
  <si>
    <t xml:space="preserve">Change the blue cells on the Assumptions tab (yellow = key levers) and watch Capacity and Dashboard update. Pick a scenario (1, 2 or 3) on the Dashboard.</t>
  </si>
  <si>
    <t xml:space="preserve">Colour code</t>
  </si>
  <si>
    <t xml:space="preserve">Blue text = input. Black text = formula. Green text = link from another sheet. Yellow fill = key assumption or selector.</t>
  </si>
  <si>
    <t xml:space="preserve">Scenarios</t>
  </si>
  <si>
    <t xml:space="preserve">1 Base (BAU only). 2 Base plus a planned change project adding cases. 3 Scenario 2 plus a volume uplift and higher absence in peak weeks.</t>
  </si>
  <si>
    <t xml:space="preserve">Method</t>
  </si>
  <si>
    <t xml:space="preserve">Required FTE = workload hours / productive hours per FTE. Productive hours = contracted hours x (1 - shrinkage) x occupancy.</t>
  </si>
  <si>
    <t xml:space="preserve">Gap options</t>
  </si>
  <si>
    <t xml:space="preserve">A shortfall is first covered by overtime (up to the overtime cap per FTE); any remainder is shown as temporary or recruited FTE needed.</t>
  </si>
  <si>
    <t xml:space="preserve">Dashboard: demand, capacity and scenario view</t>
  </si>
  <si>
    <t xml:space="preserve">Select scenario (1, 2 or 3)</t>
  </si>
  <si>
    <t xml:space="preserve">All scenarios at a glance</t>
  </si>
  <si>
    <t xml:space="preserve">Scenario</t>
  </si>
  <si>
    <t xml:space="preserve">Peak required FTE</t>
  </si>
  <si>
    <t xml:space="preserve">Weeks short</t>
  </si>
  <si>
    <t xml:space="preserve">Peak gap (FTE)</t>
  </si>
  <si>
    <t xml:space="preserve">Max temp / recruit FTE after overtime</t>
  </si>
  <si>
    <t xml:space="preserve">Weeks provider over cap</t>
  </si>
  <si>
    <t xml:space="preserve">1 Base (BAU only)</t>
  </si>
  <si>
    <t xml:space="preserve">2 Base + change project</t>
  </si>
  <si>
    <t xml:space="preserve">3 Change + peak + absence</t>
  </si>
  <si>
    <t xml:space="preserve">Selected scenario: week by week</t>
  </si>
  <si>
    <t xml:space="preserve">Week start</t>
  </si>
  <si>
    <t xml:space="preserve">Required FTE</t>
  </si>
  <si>
    <t xml:space="preserve">Available FTE</t>
  </si>
  <si>
    <t xml:space="preserve">Gap FTE</t>
  </si>
  <si>
    <t xml:space="preserve">Temp / recruit FTE needed</t>
  </si>
  <si>
    <t xml:space="preserve">Provider cases</t>
  </si>
  <si>
    <t xml:space="preserve">Provider cap</t>
  </si>
  <si>
    <t xml:space="preserve">Assumptions (all illustrative)</t>
  </si>
  <si>
    <t xml:space="preserve">Assumption</t>
  </si>
  <si>
    <t xml:space="preserve">Value</t>
  </si>
  <si>
    <t xml:space="preserve">Note</t>
  </si>
  <si>
    <t xml:space="preserve">Average handling time per call (min)</t>
  </si>
  <si>
    <t xml:space="preserve">Assumed</t>
  </si>
  <si>
    <t xml:space="preserve">Average handling time per back-office case (min)</t>
  </si>
  <si>
    <t xml:space="preserve">Contracted hours per FTE per week</t>
  </si>
  <si>
    <t xml:space="preserve">Standard 37.5 hour week</t>
  </si>
  <si>
    <t xml:space="preserve">Shrinkage (holidays, sickness, training, meetings)</t>
  </si>
  <si>
    <t xml:space="preserve">Occupancy (share of productive time on work)</t>
  </si>
  <si>
    <t xml:space="preserve">Share of cases routed to outsourced provider</t>
  </si>
  <si>
    <t xml:space="preserve">Provider contracted weekly volume (cases)</t>
  </si>
  <si>
    <t xml:space="preserve">Assumed contract limit</t>
  </si>
  <si>
    <t xml:space="preserve">Maximum overtime hours per FTE per week</t>
  </si>
  <si>
    <t xml:space="preserve">Change project: peak extra cases per week</t>
  </si>
  <si>
    <t xml:space="preserve">Scaled by the ramp column below</t>
  </si>
  <si>
    <t xml:space="preserve">Scenario 3: extra volume in peak weeks</t>
  </si>
  <si>
    <t xml:space="preserve">Stress assumption</t>
  </si>
  <si>
    <t xml:space="preserve">Scenario 3: shrinkage in peak weeks</t>
  </si>
  <si>
    <t xml:space="preserve">Winter absence stress assumption</t>
  </si>
  <si>
    <t xml:space="preserve">Starting in-house FTE available</t>
  </si>
  <si>
    <t xml:space="preserve">Average of last 4 weeks of simulated history</t>
  </si>
  <si>
    <t xml:space="preserve">Productive hours per FTE per week</t>
  </si>
  <si>
    <t xml:space="preserve">Formula: contracted hours x (1 - shrinkage) x occupancy</t>
  </si>
  <si>
    <t xml:space="preserve">Weekly profile for the forecast horizon</t>
  </si>
  <si>
    <t xml:space="preserve">Week no</t>
  </si>
  <si>
    <t xml:space="preserve">Change project ramp</t>
  </si>
  <si>
    <t xml:space="preserve">Peak week (1 = yes)</t>
  </si>
  <si>
    <t xml:space="preserve">Planned FTE change</t>
  </si>
  <si>
    <t xml:space="preserve">Planned FTE change: assumed leavers (negative) and trained hires (positive). Available FTE is cumulative.</t>
  </si>
  <si>
    <t xml:space="preserve">Calls forecast</t>
  </si>
  <si>
    <t xml:space="preserve">Calls low (80%)</t>
  </si>
  <si>
    <t xml:space="preserve">Calls high (80%)</t>
  </si>
  <si>
    <t xml:space="preserve">Cases BAU forecast</t>
  </si>
  <si>
    <t xml:space="preserve">Cases low (80%)</t>
  </si>
  <si>
    <t xml:space="preserve">Cases high (80%)</t>
  </si>
  <si>
    <t xml:space="preserve">Source: Holt-Winters forecast from forecast_and_capacity.py (simulated data). Interval = forecast +/- 1.28 x holdout RMSE. Blue = values pasted from the Python model.</t>
  </si>
  <si>
    <t xml:space="preserve">Scenario no</t>
  </si>
  <si>
    <t xml:space="preserve">Base calls</t>
  </si>
  <si>
    <t xml:space="preserve">Base cases (BAU)</t>
  </si>
  <si>
    <t xml:space="preserve">Change cases</t>
  </si>
  <si>
    <t xml:space="preserve">Peak week</t>
  </si>
  <si>
    <t xml:space="preserve">Volume uplift</t>
  </si>
  <si>
    <t xml:space="preserve">Shrinkage</t>
  </si>
  <si>
    <t xml:space="preserve">Calls</t>
  </si>
  <si>
    <t xml:space="preserve">Total cases</t>
  </si>
  <si>
    <t xml:space="preserve">Workload hours</t>
  </si>
  <si>
    <t xml:space="preserve">Productive hrs per FTE</t>
  </si>
  <si>
    <t xml:space="preserve">Overtime hours available</t>
  </si>
  <si>
    <t xml:space="preserve">Residual hours after overtime</t>
  </si>
  <si>
    <t xml:space="preserve">Temp or recruit FTE needed</t>
  </si>
  <si>
    <t xml:space="preserve">Provider cases forecast</t>
  </si>
  <si>
    <t xml:space="preserve">Provider over cap (1 = yes)</t>
  </si>
  <si>
    <t xml:space="preserve">Forecast accuracy: 13-week holdout (Holt-Winters)</t>
  </si>
  <si>
    <t xml:space="preserve">Variance flag threshold (%)</t>
  </si>
  <si>
    <t xml:space="preserve">Calls actual</t>
  </si>
  <si>
    <t xml:space="preserve">Calls variance %</t>
  </si>
  <si>
    <t xml:space="preserve">Calls flag</t>
  </si>
  <si>
    <t xml:space="preserve">Cases actual</t>
  </si>
  <si>
    <t xml:space="preserve">Cases forecast</t>
  </si>
  <si>
    <t xml:space="preserve">Cases variance %</t>
  </si>
  <si>
    <t xml:space="preserve">Cases flag</t>
  </si>
  <si>
    <t xml:space="preserve">MAPE</t>
  </si>
  <si>
    <t xml:space="preserve">Bias (forecast vs actual)</t>
  </si>
  <si>
    <t xml:space="preserve">Actual and forecast values (blue) come from the Python backtest on simulated data. Seasonal naive MAPE for comparison: calls 4.7%, cases 5.5%.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</si>
</sst>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General"/>
    <numFmt numFmtId="167" formatCode="0"/>
    <numFmt numFmtId="168" formatCode="dd\ mmm\ yyyy"/>
    <numFmt numFmtId="169" formatCode="#,##0"/>
    <numFmt numFmtId="170" formatCode="0.0%"/>
    <numFmt numFmtId="171" formatCode="0.00"/>
    <numFmt numFmtId="172" formatCode="0;\-0;0"/>
    <numFmt numFmtId="173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2A78D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Required vs available FTE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Required FTE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Dashboard!$A$13:$A$25</c:f>
              <c:strCache>
                <c:ptCount val="13"/>
                <c:pt idx="0">
                  <c:v>05 Oct 2026</c:v>
                </c:pt>
                <c:pt idx="1">
                  <c:v>12 Oct 2026</c:v>
                </c:pt>
                <c:pt idx="2">
                  <c:v>19 Oct 2026</c:v>
                </c:pt>
                <c:pt idx="3">
                  <c:v>26 Oct 2026</c:v>
                </c:pt>
                <c:pt idx="4">
                  <c:v>02 Nov 2026</c:v>
                </c:pt>
                <c:pt idx="5">
                  <c:v>09 Nov 2026</c:v>
                </c:pt>
                <c:pt idx="6">
                  <c:v>16 Nov 2026</c:v>
                </c:pt>
                <c:pt idx="7">
                  <c:v>23 Nov 2026</c:v>
                </c:pt>
                <c:pt idx="8">
                  <c:v>30 Nov 2026</c:v>
                </c:pt>
                <c:pt idx="9">
                  <c:v>07 Dec 2026</c:v>
                </c:pt>
                <c:pt idx="10">
                  <c:v>14 Dec 2026</c:v>
                </c:pt>
                <c:pt idx="11">
                  <c:v>21 Dec 2026</c:v>
                </c:pt>
                <c:pt idx="12">
                  <c:v>28 Dec 2026</c:v>
                </c:pt>
              </c:strCache>
            </c:strRef>
          </c:cat>
          <c:val>
            <c:numRef>
              <c:f>Dashboard!$B$13:$B$25</c:f>
              <c:numCache>
                <c:formatCode>0.0</c:formatCode>
                <c:ptCount val="13"/>
                <c:pt idx="0">
                  <c:v>59.0203548085901</c:v>
                </c:pt>
                <c:pt idx="1">
                  <c:v>60.0306255835668</c:v>
                </c:pt>
                <c:pt idx="2">
                  <c:v>61.6571428571429</c:v>
                </c:pt>
                <c:pt idx="3">
                  <c:v>62.8918767507003</c:v>
                </c:pt>
                <c:pt idx="4">
                  <c:v>63.840522875817</c:v>
                </c:pt>
                <c:pt idx="5">
                  <c:v>64.8044817927171</c:v>
                </c:pt>
                <c:pt idx="6">
                  <c:v>66.3869281045752</c:v>
                </c:pt>
                <c:pt idx="7">
                  <c:v>68.4537815126051</c:v>
                </c:pt>
                <c:pt idx="8">
                  <c:v>58.8806722689076</c:v>
                </c:pt>
                <c:pt idx="9">
                  <c:v>57.0188608776844</c:v>
                </c:pt>
                <c:pt idx="10">
                  <c:v>57.8539682539683</c:v>
                </c:pt>
                <c:pt idx="11">
                  <c:v>55.4140056022409</c:v>
                </c:pt>
                <c:pt idx="12">
                  <c:v>49.447619047619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Dashboard!C12</c:f>
              <c:strCache>
                <c:ptCount val="1"/>
                <c:pt idx="0">
                  <c:v>Available FTE</c:v>
                </c:pt>
              </c:strCache>
            </c:strRef>
          </c:tx>
          <c:spPr>
            <a:solidFill>
              <a:srgbClr val="52514e"/>
            </a:solidFill>
            <a:ln w="28440">
              <a:solidFill>
                <a:srgbClr val="5251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Dashboard!$A$13:$A$25</c:f>
              <c:strCache>
                <c:ptCount val="13"/>
                <c:pt idx="0">
                  <c:v>05 Oct 2026</c:v>
                </c:pt>
                <c:pt idx="1">
                  <c:v>12 Oct 2026</c:v>
                </c:pt>
                <c:pt idx="2">
                  <c:v>19 Oct 2026</c:v>
                </c:pt>
                <c:pt idx="3">
                  <c:v>26 Oct 2026</c:v>
                </c:pt>
                <c:pt idx="4">
                  <c:v>02 Nov 2026</c:v>
                </c:pt>
                <c:pt idx="5">
                  <c:v>09 Nov 2026</c:v>
                </c:pt>
                <c:pt idx="6">
                  <c:v>16 Nov 2026</c:v>
                </c:pt>
                <c:pt idx="7">
                  <c:v>23 Nov 2026</c:v>
                </c:pt>
                <c:pt idx="8">
                  <c:v>30 Nov 2026</c:v>
                </c:pt>
                <c:pt idx="9">
                  <c:v>07 Dec 2026</c:v>
                </c:pt>
                <c:pt idx="10">
                  <c:v>14 Dec 2026</c:v>
                </c:pt>
                <c:pt idx="11">
                  <c:v>21 Dec 2026</c:v>
                </c:pt>
                <c:pt idx="12">
                  <c:v>28 Dec 2026</c:v>
                </c:pt>
              </c:strCache>
            </c:strRef>
          </c:cat>
          <c:val>
            <c:numRef>
              <c:f>Dashboard!$C$13:$C$25</c:f>
              <c:numCache>
                <c:formatCode>0.0</c:formatCode>
                <c:ptCount val="13"/>
                <c:pt idx="0">
                  <c:v>64.125</c:v>
                </c:pt>
                <c:pt idx="1">
                  <c:v>64.125</c:v>
                </c:pt>
                <c:pt idx="2">
                  <c:v>64.125</c:v>
                </c:pt>
                <c:pt idx="3">
                  <c:v>64.125</c:v>
                </c:pt>
                <c:pt idx="4">
                  <c:v>62.125</c:v>
                </c:pt>
                <c:pt idx="5">
                  <c:v>62.125</c:v>
                </c:pt>
                <c:pt idx="6">
                  <c:v>62.125</c:v>
                </c:pt>
                <c:pt idx="7">
                  <c:v>62.125</c:v>
                </c:pt>
                <c:pt idx="8">
                  <c:v>65.125</c:v>
                </c:pt>
                <c:pt idx="9">
                  <c:v>65.125</c:v>
                </c:pt>
                <c:pt idx="10">
                  <c:v>65.125</c:v>
                </c:pt>
                <c:pt idx="11">
                  <c:v>65.125</c:v>
                </c:pt>
                <c:pt idx="12">
                  <c:v>65.125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507930"/>
        <c:axId val="14091159"/>
      </c:lineChart>
      <c:catAx>
        <c:axId val="74507930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91159"/>
        <c:crosses val="autoZero"/>
        <c:auto val="1"/>
        <c:lblAlgn val="ctr"/>
        <c:lblOffset val="100"/>
        <c:noMultiLvlLbl val="0"/>
      </c:catAx>
      <c:valAx>
        <c:axId val="14091159"/>
        <c:scaling>
          <c:orientation val="minMax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07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18</xdr:col>
      <xdr:colOff>364680</xdr:colOff>
      <xdr:row>14</xdr:row>
      <xdr:rowOff>144720</xdr:rowOff>
    </xdr:to>
    <xdr:graphicFrame>
      <xdr:nvGraphicFramePr>
        <xdr:cNvPr id="0" name="Chart 1"/>
        <xdr:cNvGraphicFramePr/>
      </xdr:nvGraphicFramePr>
      <xdr:xfrm>
        <a:off x="935172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0" customFormat="false" ht="31.5" hidden="false" customHeight="true" outlineLevel="0" collapsed="false">
      <c r="A10" s="2" t="s">
        <v>15</v>
      </c>
      <c r="B10" s="3" t="s">
        <v>16</v>
      </c>
    </row>
    <row r="11" customFormat="false" ht="31.5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2" t="s">
        <v>20</v>
      </c>
      <c r="B3" s="4" t="n">
        <v>2</v>
      </c>
      <c r="C3" s="5" t="str">
        <f aca="false">INDEX(Capacity!$B$2:$B$40,(B3-1)*13+1)</f>
        <v>2 Base + change project</v>
      </c>
      <c r="D3" s="5"/>
      <c r="E3" s="5"/>
    </row>
    <row r="5" customFormat="false" ht="15" hidden="false" customHeight="false" outlineLevel="0" collapsed="false">
      <c r="A5" s="6" t="s">
        <v>21</v>
      </c>
    </row>
    <row r="6" customFormat="false" ht="31.5" hidden="false" customHeight="true" outlineLevel="0" collapsed="false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</row>
    <row r="7" customFormat="false" ht="15" hidden="false" customHeight="false" outlineLevel="0" collapsed="false">
      <c r="A7" s="8" t="s">
        <v>28</v>
      </c>
      <c r="B7" s="9" t="n">
        <f aca="false">SUMPRODUCT(MAX((Capacity!$A$2:$A$40=1)*Capacity!$O$2:$O$40))</f>
        <v>65.4341736694678</v>
      </c>
      <c r="C7" s="10" t="n">
        <f aca="false">COUNTIFS(Capacity!$A$2:$A$40,1,Capacity!$Q$2:$Q$40,"&gt;0")</f>
        <v>1</v>
      </c>
      <c r="D7" s="9" t="n">
        <f aca="false">SUMPRODUCT(MAX((Capacity!$A$2:$A$40=1)*Capacity!$Q$2:$Q$40))</f>
        <v>3.30917366946778</v>
      </c>
      <c r="E7" s="11" t="n">
        <f aca="false">SUMPRODUCT(MAX((Capacity!$A$2:$A$40=1)*Capacity!$T$2:$T$40))</f>
        <v>0</v>
      </c>
      <c r="F7" s="11" t="n">
        <f aca="false">SUMIFS(Capacity!$V$2:$V$40,Capacity!$A$2:$A$40,1)</f>
        <v>0</v>
      </c>
    </row>
    <row r="8" customFormat="false" ht="15" hidden="false" customHeight="false" outlineLevel="0" collapsed="false">
      <c r="A8" s="8" t="s">
        <v>29</v>
      </c>
      <c r="B8" s="9" t="n">
        <f aca="false">SUMPRODUCT(MAX((Capacity!$A$2:$A$40=2)*Capacity!$O$2:$O$40))</f>
        <v>68.4537815126051</v>
      </c>
      <c r="C8" s="10" t="n">
        <f aca="false">COUNTIFS(Capacity!$A$2:$A$40,2,Capacity!$Q$2:$Q$40,"&gt;0")</f>
        <v>4</v>
      </c>
      <c r="D8" s="9" t="n">
        <f aca="false">SUMPRODUCT(MAX((Capacity!$A$2:$A$40=2)*Capacity!$Q$2:$Q$40))</f>
        <v>6.32878151260505</v>
      </c>
      <c r="E8" s="11" t="n">
        <f aca="false">SUMPRODUCT(MAX((Capacity!$A$2:$A$40=2)*Capacity!$T$2:$T$40))</f>
        <v>0</v>
      </c>
      <c r="F8" s="11" t="n">
        <f aca="false">SUMIFS(Capacity!$V$2:$V$40,Capacity!$A$2:$A$40,2)</f>
        <v>3</v>
      </c>
    </row>
    <row r="9" customFormat="false" ht="15" hidden="false" customHeight="false" outlineLevel="0" collapsed="false">
      <c r="A9" s="8" t="s">
        <v>30</v>
      </c>
      <c r="B9" s="9" t="n">
        <f aca="false">SUMPRODUCT(MAX((Capacity!$A$2:$A$40=3)*Capacity!$O$2:$O$40))</f>
        <v>81.0914027149321</v>
      </c>
      <c r="C9" s="10" t="n">
        <f aca="false">COUNTIFS(Capacity!$A$2:$A$40,3,Capacity!$Q$2:$Q$40,"&gt;0")</f>
        <v>6</v>
      </c>
      <c r="D9" s="9" t="n">
        <f aca="false">SUMPRODUCT(MAX((Capacity!$A$2:$A$40=3)*Capacity!$Q$2:$Q$40))</f>
        <v>18.9664027149321</v>
      </c>
      <c r="E9" s="11" t="n">
        <f aca="false">SUMPRODUCT(MAX((Capacity!$A$2:$A$40=3)*Capacity!$T$2:$T$40))</f>
        <v>7</v>
      </c>
      <c r="F9" s="11" t="n">
        <f aca="false">SUMIFS(Capacity!$V$2:$V$40,Capacity!$A$2:$A$40,3)</f>
        <v>4</v>
      </c>
    </row>
    <row r="11" customFormat="false" ht="15" hidden="false" customHeight="false" outlineLevel="0" collapsed="false">
      <c r="A11" s="6" t="s">
        <v>31</v>
      </c>
    </row>
    <row r="12" customFormat="false" ht="31.5" hidden="false" customHeight="true" outlineLevel="0" collapsed="false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 t="s">
        <v>37</v>
      </c>
      <c r="G12" s="7" t="s">
        <v>38</v>
      </c>
    </row>
    <row r="13" customFormat="false" ht="15" hidden="false" customHeight="false" outlineLevel="0" collapsed="false">
      <c r="A13" s="12" t="n">
        <f aca="false">INDEX(Capacity!$D$2:$D$40,($B$3-1)*13+1)</f>
        <v>46300</v>
      </c>
      <c r="B13" s="13" t="n">
        <f aca="false">INDEX(Capacity!$O$2:$O$40,($B$3-1)*13+1)</f>
        <v>59.0203548085901</v>
      </c>
      <c r="C13" s="13" t="n">
        <f aca="false">INDEX(Capacity!$P$2:$P$40,($B$3-1)*13+1)</f>
        <v>64.125</v>
      </c>
      <c r="D13" s="13" t="n">
        <f aca="false">INDEX(Capacity!$Q$2:$Q$40,($B$3-1)*13+1)</f>
        <v>0</v>
      </c>
      <c r="E13" s="14" t="n">
        <f aca="false">INDEX(Capacity!$T$2:$T$40,($B$3-1)*13+1)</f>
        <v>0</v>
      </c>
      <c r="F13" s="15" t="n">
        <f aca="false">INDEX(Capacity!$U$2:$U$40,($B$3-1)*13+1)</f>
        <v>713.75</v>
      </c>
      <c r="G13" s="16" t="n">
        <f aca="false">PROV_CAP</f>
        <v>800</v>
      </c>
    </row>
    <row r="14" customFormat="false" ht="15" hidden="false" customHeight="false" outlineLevel="0" collapsed="false">
      <c r="A14" s="12" t="n">
        <f aca="false">INDEX(Capacity!$D$2:$D$40,($B$3-1)*13+2)</f>
        <v>46307</v>
      </c>
      <c r="B14" s="13" t="n">
        <f aca="false">INDEX(Capacity!$O$2:$O$40,($B$3-1)*13+2)</f>
        <v>60.0306255835668</v>
      </c>
      <c r="C14" s="13" t="n">
        <f aca="false">INDEX(Capacity!$P$2:$P$40,($B$3-1)*13+2)</f>
        <v>64.125</v>
      </c>
      <c r="D14" s="13" t="n">
        <f aca="false">INDEX(Capacity!$Q$2:$Q$40,($B$3-1)*13+2)</f>
        <v>0</v>
      </c>
      <c r="E14" s="14" t="n">
        <f aca="false">INDEX(Capacity!$T$2:$T$40,($B$3-1)*13+2)</f>
        <v>0</v>
      </c>
      <c r="F14" s="15" t="n">
        <f aca="false">INDEX(Capacity!$U$2:$U$40,($B$3-1)*13+2)</f>
        <v>730</v>
      </c>
      <c r="G14" s="16" t="n">
        <f aca="false">PROV_CAP</f>
        <v>800</v>
      </c>
    </row>
    <row r="15" customFormat="false" ht="15" hidden="false" customHeight="false" outlineLevel="0" collapsed="false">
      <c r="A15" s="12" t="n">
        <f aca="false">INDEX(Capacity!$D$2:$D$40,($B$3-1)*13+3)</f>
        <v>46314</v>
      </c>
      <c r="B15" s="13" t="n">
        <f aca="false">INDEX(Capacity!$O$2:$O$40,($B$3-1)*13+3)</f>
        <v>61.6571428571429</v>
      </c>
      <c r="C15" s="13" t="n">
        <f aca="false">INDEX(Capacity!$P$2:$P$40,($B$3-1)*13+3)</f>
        <v>64.125</v>
      </c>
      <c r="D15" s="13" t="n">
        <f aca="false">INDEX(Capacity!$Q$2:$Q$40,($B$3-1)*13+3)</f>
        <v>0</v>
      </c>
      <c r="E15" s="14" t="n">
        <f aca="false">INDEX(Capacity!$T$2:$T$40,($B$3-1)*13+3)</f>
        <v>0</v>
      </c>
      <c r="F15" s="15" t="n">
        <f aca="false">INDEX(Capacity!$U$2:$U$40,($B$3-1)*13+3)</f>
        <v>748.25</v>
      </c>
      <c r="G15" s="16" t="n">
        <f aca="false">PROV_CAP</f>
        <v>800</v>
      </c>
    </row>
    <row r="16" customFormat="false" ht="15" hidden="false" customHeight="false" outlineLevel="0" collapsed="false">
      <c r="A16" s="12" t="n">
        <f aca="false">INDEX(Capacity!$D$2:$D$40,($B$3-1)*13+4)</f>
        <v>46321</v>
      </c>
      <c r="B16" s="13" t="n">
        <f aca="false">INDEX(Capacity!$O$2:$O$40,($B$3-1)*13+4)</f>
        <v>62.8918767507003</v>
      </c>
      <c r="C16" s="13" t="n">
        <f aca="false">INDEX(Capacity!$P$2:$P$40,($B$3-1)*13+4)</f>
        <v>64.125</v>
      </c>
      <c r="D16" s="13" t="n">
        <f aca="false">INDEX(Capacity!$Q$2:$Q$40,($B$3-1)*13+4)</f>
        <v>0</v>
      </c>
      <c r="E16" s="14" t="n">
        <f aca="false">INDEX(Capacity!$T$2:$T$40,($B$3-1)*13+4)</f>
        <v>0</v>
      </c>
      <c r="F16" s="15" t="n">
        <f aca="false">INDEX(Capacity!$U$2:$U$40,($B$3-1)*13+4)</f>
        <v>756.75</v>
      </c>
      <c r="G16" s="16" t="n">
        <f aca="false">PROV_CAP</f>
        <v>800</v>
      </c>
    </row>
    <row r="17" customFormat="false" ht="15" hidden="false" customHeight="false" outlineLevel="0" collapsed="false">
      <c r="A17" s="12" t="n">
        <f aca="false">INDEX(Capacity!$D$2:$D$40,($B$3-1)*13+5)</f>
        <v>46328</v>
      </c>
      <c r="B17" s="13" t="n">
        <f aca="false">INDEX(Capacity!$O$2:$O$40,($B$3-1)*13+5)</f>
        <v>63.840522875817</v>
      </c>
      <c r="C17" s="13" t="n">
        <f aca="false">INDEX(Capacity!$P$2:$P$40,($B$3-1)*13+5)</f>
        <v>62.125</v>
      </c>
      <c r="D17" s="13" t="n">
        <f aca="false">INDEX(Capacity!$Q$2:$Q$40,($B$3-1)*13+5)</f>
        <v>1.71552287581699</v>
      </c>
      <c r="E17" s="14" t="n">
        <f aca="false">INDEX(Capacity!$T$2:$T$40,($B$3-1)*13+5)</f>
        <v>0</v>
      </c>
      <c r="F17" s="15" t="n">
        <f aca="false">INDEX(Capacity!$U$2:$U$40,($B$3-1)*13+5)</f>
        <v>799.75</v>
      </c>
      <c r="G17" s="16" t="n">
        <f aca="false">PROV_CAP</f>
        <v>800</v>
      </c>
    </row>
    <row r="18" customFormat="false" ht="15" hidden="false" customHeight="false" outlineLevel="0" collapsed="false">
      <c r="A18" s="12" t="n">
        <f aca="false">INDEX(Capacity!$D$2:$D$40,($B$3-1)*13+6)</f>
        <v>46335</v>
      </c>
      <c r="B18" s="13" t="n">
        <f aca="false">INDEX(Capacity!$O$2:$O$40,($B$3-1)*13+6)</f>
        <v>64.8044817927171</v>
      </c>
      <c r="C18" s="13" t="n">
        <f aca="false">INDEX(Capacity!$P$2:$P$40,($B$3-1)*13+6)</f>
        <v>62.125</v>
      </c>
      <c r="D18" s="13" t="n">
        <f aca="false">INDEX(Capacity!$Q$2:$Q$40,($B$3-1)*13+6)</f>
        <v>2.67948179271708</v>
      </c>
      <c r="E18" s="14" t="n">
        <f aca="false">INDEX(Capacity!$T$2:$T$40,($B$3-1)*13+6)</f>
        <v>0</v>
      </c>
      <c r="F18" s="15" t="n">
        <f aca="false">INDEX(Capacity!$U$2:$U$40,($B$3-1)*13+6)</f>
        <v>821</v>
      </c>
      <c r="G18" s="16" t="n">
        <f aca="false">PROV_CAP</f>
        <v>800</v>
      </c>
    </row>
    <row r="19" customFormat="false" ht="15" hidden="false" customHeight="false" outlineLevel="0" collapsed="false">
      <c r="A19" s="12" t="n">
        <f aca="false">INDEX(Capacity!$D$2:$D$40,($B$3-1)*13+7)</f>
        <v>46342</v>
      </c>
      <c r="B19" s="13" t="n">
        <f aca="false">INDEX(Capacity!$O$2:$O$40,($B$3-1)*13+7)</f>
        <v>66.3869281045752</v>
      </c>
      <c r="C19" s="13" t="n">
        <f aca="false">INDEX(Capacity!$P$2:$P$40,($B$3-1)*13+7)</f>
        <v>62.125</v>
      </c>
      <c r="D19" s="13" t="n">
        <f aca="false">INDEX(Capacity!$Q$2:$Q$40,($B$3-1)*13+7)</f>
        <v>4.26192810457516</v>
      </c>
      <c r="E19" s="14" t="n">
        <f aca="false">INDEX(Capacity!$T$2:$T$40,($B$3-1)*13+7)</f>
        <v>0</v>
      </c>
      <c r="F19" s="15" t="n">
        <f aca="false">INDEX(Capacity!$U$2:$U$40,($B$3-1)*13+7)</f>
        <v>845.25</v>
      </c>
      <c r="G19" s="16" t="n">
        <f aca="false">PROV_CAP</f>
        <v>800</v>
      </c>
    </row>
    <row r="20" customFormat="false" ht="15" hidden="false" customHeight="false" outlineLevel="0" collapsed="false">
      <c r="A20" s="12" t="n">
        <f aca="false">INDEX(Capacity!$D$2:$D$40,($B$3-1)*13+8)</f>
        <v>46349</v>
      </c>
      <c r="B20" s="13" t="n">
        <f aca="false">INDEX(Capacity!$O$2:$O$40,($B$3-1)*13+8)</f>
        <v>68.4537815126051</v>
      </c>
      <c r="C20" s="13" t="n">
        <f aca="false">INDEX(Capacity!$P$2:$P$40,($B$3-1)*13+8)</f>
        <v>62.125</v>
      </c>
      <c r="D20" s="13" t="n">
        <f aca="false">INDEX(Capacity!$Q$2:$Q$40,($B$3-1)*13+8)</f>
        <v>6.32878151260505</v>
      </c>
      <c r="E20" s="14" t="n">
        <f aca="false">INDEX(Capacity!$T$2:$T$40,($B$3-1)*13+8)</f>
        <v>0</v>
      </c>
      <c r="F20" s="15" t="n">
        <f aca="false">INDEX(Capacity!$U$2:$U$40,($B$3-1)*13+8)</f>
        <v>848.25</v>
      </c>
      <c r="G20" s="16" t="n">
        <f aca="false">PROV_CAP</f>
        <v>800</v>
      </c>
    </row>
    <row r="21" customFormat="false" ht="15" hidden="false" customHeight="false" outlineLevel="0" collapsed="false">
      <c r="A21" s="12" t="n">
        <f aca="false">INDEX(Capacity!$D$2:$D$40,($B$3-1)*13+9)</f>
        <v>46356</v>
      </c>
      <c r="B21" s="13" t="n">
        <f aca="false">INDEX(Capacity!$O$2:$O$40,($B$3-1)*13+9)</f>
        <v>58.8806722689076</v>
      </c>
      <c r="C21" s="13" t="n">
        <f aca="false">INDEX(Capacity!$P$2:$P$40,($B$3-1)*13+9)</f>
        <v>65.125</v>
      </c>
      <c r="D21" s="13" t="n">
        <f aca="false">INDEX(Capacity!$Q$2:$Q$40,($B$3-1)*13+9)</f>
        <v>0</v>
      </c>
      <c r="E21" s="14" t="n">
        <f aca="false">INDEX(Capacity!$T$2:$T$40,($B$3-1)*13+9)</f>
        <v>0</v>
      </c>
      <c r="F21" s="15" t="n">
        <f aca="false">INDEX(Capacity!$U$2:$U$40,($B$3-1)*13+9)</f>
        <v>734.25</v>
      </c>
      <c r="G21" s="16" t="n">
        <f aca="false">PROV_CAP</f>
        <v>800</v>
      </c>
    </row>
    <row r="22" customFormat="false" ht="15" hidden="false" customHeight="false" outlineLevel="0" collapsed="false">
      <c r="A22" s="12" t="n">
        <f aca="false">INDEX(Capacity!$D$2:$D$40,($B$3-1)*13+10)</f>
        <v>46363</v>
      </c>
      <c r="B22" s="13" t="n">
        <f aca="false">INDEX(Capacity!$O$2:$O$40,($B$3-1)*13+10)</f>
        <v>57.0188608776844</v>
      </c>
      <c r="C22" s="13" t="n">
        <f aca="false">INDEX(Capacity!$P$2:$P$40,($B$3-1)*13+10)</f>
        <v>65.125</v>
      </c>
      <c r="D22" s="13" t="n">
        <f aca="false">INDEX(Capacity!$Q$2:$Q$40,($B$3-1)*13+10)</f>
        <v>0</v>
      </c>
      <c r="E22" s="14" t="n">
        <f aca="false">INDEX(Capacity!$T$2:$T$40,($B$3-1)*13+10)</f>
        <v>0</v>
      </c>
      <c r="F22" s="15" t="n">
        <f aca="false">INDEX(Capacity!$U$2:$U$40,($B$3-1)*13+10)</f>
        <v>698.5</v>
      </c>
      <c r="G22" s="16" t="n">
        <f aca="false">PROV_CAP</f>
        <v>800</v>
      </c>
    </row>
    <row r="23" customFormat="false" ht="15" hidden="false" customHeight="false" outlineLevel="0" collapsed="false">
      <c r="A23" s="12" t="n">
        <f aca="false">INDEX(Capacity!$D$2:$D$40,($B$3-1)*13+11)</f>
        <v>46370</v>
      </c>
      <c r="B23" s="13" t="n">
        <f aca="false">INDEX(Capacity!$O$2:$O$40,($B$3-1)*13+11)</f>
        <v>57.8539682539683</v>
      </c>
      <c r="C23" s="13" t="n">
        <f aca="false">INDEX(Capacity!$P$2:$P$40,($B$3-1)*13+11)</f>
        <v>65.125</v>
      </c>
      <c r="D23" s="13" t="n">
        <f aca="false">INDEX(Capacity!$Q$2:$Q$40,($B$3-1)*13+11)</f>
        <v>0</v>
      </c>
      <c r="E23" s="14" t="n">
        <f aca="false">INDEX(Capacity!$T$2:$T$40,($B$3-1)*13+11)</f>
        <v>0</v>
      </c>
      <c r="F23" s="15" t="n">
        <f aca="false">INDEX(Capacity!$U$2:$U$40,($B$3-1)*13+11)</f>
        <v>692</v>
      </c>
      <c r="G23" s="16" t="n">
        <f aca="false">PROV_CAP</f>
        <v>800</v>
      </c>
    </row>
    <row r="24" customFormat="false" ht="15" hidden="false" customHeight="false" outlineLevel="0" collapsed="false">
      <c r="A24" s="12" t="n">
        <f aca="false">INDEX(Capacity!$D$2:$D$40,($B$3-1)*13+12)</f>
        <v>46377</v>
      </c>
      <c r="B24" s="13" t="n">
        <f aca="false">INDEX(Capacity!$O$2:$O$40,($B$3-1)*13+12)</f>
        <v>55.4140056022409</v>
      </c>
      <c r="C24" s="13" t="n">
        <f aca="false">INDEX(Capacity!$P$2:$P$40,($B$3-1)*13+12)</f>
        <v>65.125</v>
      </c>
      <c r="D24" s="13" t="n">
        <f aca="false">INDEX(Capacity!$Q$2:$Q$40,($B$3-1)*13+12)</f>
        <v>0</v>
      </c>
      <c r="E24" s="14" t="n">
        <f aca="false">INDEX(Capacity!$T$2:$T$40,($B$3-1)*13+12)</f>
        <v>0</v>
      </c>
      <c r="F24" s="15" t="n">
        <f aca="false">INDEX(Capacity!$U$2:$U$40,($B$3-1)*13+12)</f>
        <v>664.25</v>
      </c>
      <c r="G24" s="16" t="n">
        <f aca="false">PROV_CAP</f>
        <v>800</v>
      </c>
    </row>
    <row r="25" customFormat="false" ht="15" hidden="false" customHeight="false" outlineLevel="0" collapsed="false">
      <c r="A25" s="12" t="n">
        <f aca="false">INDEX(Capacity!$D$2:$D$40,($B$3-1)*13+13)</f>
        <v>46384</v>
      </c>
      <c r="B25" s="13" t="n">
        <f aca="false">INDEX(Capacity!$O$2:$O$40,($B$3-1)*13+13)</f>
        <v>49.447619047619</v>
      </c>
      <c r="C25" s="13" t="n">
        <f aca="false">INDEX(Capacity!$P$2:$P$40,($B$3-1)*13+13)</f>
        <v>65.125</v>
      </c>
      <c r="D25" s="13" t="n">
        <f aca="false">INDEX(Capacity!$Q$2:$Q$40,($B$3-1)*13+13)</f>
        <v>0</v>
      </c>
      <c r="E25" s="14" t="n">
        <f aca="false">INDEX(Capacity!$T$2:$T$40,($B$3-1)*13+13)</f>
        <v>0</v>
      </c>
      <c r="F25" s="15" t="n">
        <f aca="false">INDEX(Capacity!$U$2:$U$40,($B$3-1)*13+13)</f>
        <v>590</v>
      </c>
      <c r="G25" s="16" t="n">
        <f aca="false">PROV_CAP</f>
        <v>800</v>
      </c>
    </row>
  </sheetData>
  <mergeCells count="1">
    <mergeCell ref="C3:E3"/>
  </mergeCells>
  <conditionalFormatting sqref="D13:D25">
    <cfRule type="cellIs" priority="2" operator="greaterThan" aboveAverage="0" equalAverage="0" bottom="0" percent="0" rank="0" text="" dxfId="0">
      <formula>0</formula>
    </cfRule>
  </conditionalFormatting>
  <dataValidations count="1">
    <dataValidation allowBlank="false" errorStyle="stop" operator="between" showDropDown="false" showErrorMessage="false" showInputMessage="false" sqref="B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7" t="s">
        <v>39</v>
      </c>
    </row>
    <row r="3" customFormat="false" ht="31.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8" t="s">
        <v>43</v>
      </c>
      <c r="B4" s="18" t="n">
        <v>7</v>
      </c>
      <c r="C4" s="8" t="s">
        <v>44</v>
      </c>
    </row>
    <row r="5" customFormat="false" ht="15" hidden="false" customHeight="false" outlineLevel="0" collapsed="false">
      <c r="A5" s="8" t="s">
        <v>45</v>
      </c>
      <c r="B5" s="18" t="n">
        <v>22</v>
      </c>
      <c r="C5" s="8" t="s">
        <v>44</v>
      </c>
    </row>
    <row r="6" customFormat="false" ht="15" hidden="false" customHeight="false" outlineLevel="0" collapsed="false">
      <c r="A6" s="8" t="s">
        <v>46</v>
      </c>
      <c r="B6" s="19" t="n">
        <v>37.5</v>
      </c>
      <c r="C6" s="8" t="s">
        <v>47</v>
      </c>
    </row>
    <row r="7" customFormat="false" ht="15" hidden="false" customHeight="false" outlineLevel="0" collapsed="false">
      <c r="A7" s="8" t="s">
        <v>48</v>
      </c>
      <c r="B7" s="20" t="n">
        <v>0.3</v>
      </c>
      <c r="C7" s="8" t="s">
        <v>44</v>
      </c>
    </row>
    <row r="8" customFormat="false" ht="15" hidden="false" customHeight="false" outlineLevel="0" collapsed="false">
      <c r="A8" s="8" t="s">
        <v>49</v>
      </c>
      <c r="B8" s="20" t="n">
        <v>0.85</v>
      </c>
      <c r="C8" s="8" t="s">
        <v>44</v>
      </c>
    </row>
    <row r="9" customFormat="false" ht="15" hidden="false" customHeight="false" outlineLevel="0" collapsed="false">
      <c r="A9" s="8" t="s">
        <v>50</v>
      </c>
      <c r="B9" s="21" t="n">
        <v>0.25</v>
      </c>
      <c r="C9" s="8" t="s">
        <v>44</v>
      </c>
    </row>
    <row r="10" customFormat="false" ht="15" hidden="false" customHeight="false" outlineLevel="0" collapsed="false">
      <c r="A10" s="8" t="s">
        <v>51</v>
      </c>
      <c r="B10" s="22" t="n">
        <v>800</v>
      </c>
      <c r="C10" s="8" t="s">
        <v>52</v>
      </c>
    </row>
    <row r="11" customFormat="false" ht="15" hidden="false" customHeight="false" outlineLevel="0" collapsed="false">
      <c r="A11" s="8" t="s">
        <v>53</v>
      </c>
      <c r="B11" s="19" t="n">
        <v>4</v>
      </c>
      <c r="C11" s="8" t="s">
        <v>44</v>
      </c>
    </row>
    <row r="12" customFormat="false" ht="15" hidden="false" customHeight="false" outlineLevel="0" collapsed="false">
      <c r="A12" s="8" t="s">
        <v>54</v>
      </c>
      <c r="B12" s="23" t="n">
        <v>350</v>
      </c>
      <c r="C12" s="8" t="s">
        <v>55</v>
      </c>
    </row>
    <row r="13" customFormat="false" ht="15" hidden="false" customHeight="false" outlineLevel="0" collapsed="false">
      <c r="A13" s="8" t="s">
        <v>56</v>
      </c>
      <c r="B13" s="20" t="n">
        <v>0.1</v>
      </c>
      <c r="C13" s="8" t="s">
        <v>57</v>
      </c>
    </row>
    <row r="14" customFormat="false" ht="15" hidden="false" customHeight="false" outlineLevel="0" collapsed="false">
      <c r="A14" s="8" t="s">
        <v>58</v>
      </c>
      <c r="B14" s="20" t="n">
        <v>0.35</v>
      </c>
      <c r="C14" s="8" t="s">
        <v>59</v>
      </c>
    </row>
    <row r="15" customFormat="false" ht="15" hidden="false" customHeight="false" outlineLevel="0" collapsed="false">
      <c r="A15" s="8" t="s">
        <v>60</v>
      </c>
      <c r="B15" s="19" t="n">
        <v>64.125</v>
      </c>
      <c r="C15" s="8" t="s">
        <v>61</v>
      </c>
    </row>
    <row r="16" customFormat="false" ht="15" hidden="false" customHeight="false" outlineLevel="0" collapsed="false">
      <c r="A16" s="8" t="s">
        <v>62</v>
      </c>
      <c r="B16" s="24" t="n">
        <f aca="false">CONTRACT_HRS*(1-SHRINK)*OCC</f>
        <v>22.3125</v>
      </c>
      <c r="C16" s="8" t="s">
        <v>63</v>
      </c>
    </row>
    <row r="20" customFormat="false" ht="15" hidden="false" customHeight="false" outlineLevel="0" collapsed="false">
      <c r="A20" s="6" t="s">
        <v>64</v>
      </c>
    </row>
    <row r="21" customFormat="false" ht="31.5" hidden="false" customHeight="true" outlineLevel="0" collapsed="false">
      <c r="A21" s="7" t="s">
        <v>65</v>
      </c>
      <c r="B21" s="7" t="s">
        <v>32</v>
      </c>
      <c r="C21" s="7" t="s">
        <v>66</v>
      </c>
      <c r="D21" s="7" t="s">
        <v>67</v>
      </c>
      <c r="E21" s="7" t="s">
        <v>68</v>
      </c>
      <c r="F21" s="7" t="s">
        <v>34</v>
      </c>
    </row>
    <row r="22" customFormat="false" ht="15" hidden="false" customHeight="false" outlineLevel="0" collapsed="false">
      <c r="A22" s="10" t="n">
        <v>1</v>
      </c>
      <c r="B22" s="12" t="n">
        <f aca="false">INDEX(Forecast!$B$2:$B$14,A22)</f>
        <v>46300</v>
      </c>
      <c r="C22" s="19" t="n">
        <v>0</v>
      </c>
      <c r="D22" s="25" t="n">
        <v>0</v>
      </c>
      <c r="E22" s="26" t="n">
        <v>0</v>
      </c>
      <c r="F22" s="9" t="n">
        <f aca="false">START_FTE+E22</f>
        <v>64.125</v>
      </c>
    </row>
    <row r="23" customFormat="false" ht="15" hidden="false" customHeight="false" outlineLevel="0" collapsed="false">
      <c r="A23" s="10" t="n">
        <v>2</v>
      </c>
      <c r="B23" s="12" t="n">
        <f aca="false">INDEX(Forecast!$B$2:$B$14,A23)</f>
        <v>46307</v>
      </c>
      <c r="C23" s="19" t="n">
        <v>0</v>
      </c>
      <c r="D23" s="25" t="n">
        <v>0</v>
      </c>
      <c r="E23" s="26" t="n">
        <v>0</v>
      </c>
      <c r="F23" s="9" t="n">
        <f aca="false">F22+E23</f>
        <v>64.125</v>
      </c>
    </row>
    <row r="24" customFormat="false" ht="15" hidden="false" customHeight="false" outlineLevel="0" collapsed="false">
      <c r="A24" s="10" t="n">
        <v>3</v>
      </c>
      <c r="B24" s="12" t="n">
        <f aca="false">INDEX(Forecast!$B$2:$B$14,A24)</f>
        <v>46314</v>
      </c>
      <c r="C24" s="19" t="n">
        <v>0</v>
      </c>
      <c r="D24" s="25" t="n">
        <v>0</v>
      </c>
      <c r="E24" s="26" t="n">
        <v>0</v>
      </c>
      <c r="F24" s="9" t="n">
        <f aca="false">F23+E24</f>
        <v>64.125</v>
      </c>
    </row>
    <row r="25" customFormat="false" ht="15" hidden="false" customHeight="false" outlineLevel="0" collapsed="false">
      <c r="A25" s="10" t="n">
        <v>4</v>
      </c>
      <c r="B25" s="12" t="n">
        <f aca="false">INDEX(Forecast!$B$2:$B$14,A25)</f>
        <v>46321</v>
      </c>
      <c r="C25" s="19" t="n">
        <v>0.4</v>
      </c>
      <c r="D25" s="25" t="n">
        <v>0</v>
      </c>
      <c r="E25" s="26" t="n">
        <v>0</v>
      </c>
      <c r="F25" s="9" t="n">
        <f aca="false">F24+E25</f>
        <v>64.125</v>
      </c>
    </row>
    <row r="26" customFormat="false" ht="15" hidden="false" customHeight="false" outlineLevel="0" collapsed="false">
      <c r="A26" s="10" t="n">
        <v>5</v>
      </c>
      <c r="B26" s="12" t="n">
        <f aca="false">INDEX(Forecast!$B$2:$B$14,A26)</f>
        <v>46328</v>
      </c>
      <c r="C26" s="19" t="n">
        <v>0.8</v>
      </c>
      <c r="D26" s="25" t="n">
        <v>0</v>
      </c>
      <c r="E26" s="26" t="n">
        <v>-2</v>
      </c>
      <c r="F26" s="9" t="n">
        <f aca="false">F25+E26</f>
        <v>62.125</v>
      </c>
    </row>
    <row r="27" customFormat="false" ht="15" hidden="false" customHeight="false" outlineLevel="0" collapsed="false">
      <c r="A27" s="10" t="n">
        <v>6</v>
      </c>
      <c r="B27" s="12" t="n">
        <f aca="false">INDEX(Forecast!$B$2:$B$14,A27)</f>
        <v>46335</v>
      </c>
      <c r="C27" s="19" t="n">
        <v>1</v>
      </c>
      <c r="D27" s="25" t="n">
        <v>1</v>
      </c>
      <c r="E27" s="26" t="n">
        <v>0</v>
      </c>
      <c r="F27" s="9" t="n">
        <f aca="false">F26+E27</f>
        <v>62.125</v>
      </c>
    </row>
    <row r="28" customFormat="false" ht="15" hidden="false" customHeight="false" outlineLevel="0" collapsed="false">
      <c r="A28" s="10" t="n">
        <v>7</v>
      </c>
      <c r="B28" s="12" t="n">
        <f aca="false">INDEX(Forecast!$B$2:$B$14,A28)</f>
        <v>46342</v>
      </c>
      <c r="C28" s="19" t="n">
        <v>1</v>
      </c>
      <c r="D28" s="25" t="n">
        <v>1</v>
      </c>
      <c r="E28" s="26" t="n">
        <v>0</v>
      </c>
      <c r="F28" s="9" t="n">
        <f aca="false">F27+E28</f>
        <v>62.125</v>
      </c>
    </row>
    <row r="29" customFormat="false" ht="15" hidden="false" customHeight="false" outlineLevel="0" collapsed="false">
      <c r="A29" s="10" t="n">
        <v>8</v>
      </c>
      <c r="B29" s="12" t="n">
        <f aca="false">INDEX(Forecast!$B$2:$B$14,A29)</f>
        <v>46349</v>
      </c>
      <c r="C29" s="19" t="n">
        <v>0.7</v>
      </c>
      <c r="D29" s="25" t="n">
        <v>1</v>
      </c>
      <c r="E29" s="26" t="n">
        <v>0</v>
      </c>
      <c r="F29" s="9" t="n">
        <f aca="false">F28+E29</f>
        <v>62.125</v>
      </c>
    </row>
    <row r="30" customFormat="false" ht="15" hidden="false" customHeight="false" outlineLevel="0" collapsed="false">
      <c r="A30" s="10" t="n">
        <v>9</v>
      </c>
      <c r="B30" s="12" t="n">
        <f aca="false">INDEX(Forecast!$B$2:$B$14,A30)</f>
        <v>46356</v>
      </c>
      <c r="C30" s="19" t="n">
        <v>0.3</v>
      </c>
      <c r="D30" s="25" t="n">
        <v>1</v>
      </c>
      <c r="E30" s="26" t="n">
        <v>3</v>
      </c>
      <c r="F30" s="9" t="n">
        <f aca="false">F29+E30</f>
        <v>65.125</v>
      </c>
    </row>
    <row r="31" customFormat="false" ht="15" hidden="false" customHeight="false" outlineLevel="0" collapsed="false">
      <c r="A31" s="10" t="n">
        <v>10</v>
      </c>
      <c r="B31" s="12" t="n">
        <f aca="false">INDEX(Forecast!$B$2:$B$14,A31)</f>
        <v>46363</v>
      </c>
      <c r="C31" s="19" t="n">
        <v>0</v>
      </c>
      <c r="D31" s="25" t="n">
        <v>1</v>
      </c>
      <c r="E31" s="26" t="n">
        <v>0</v>
      </c>
      <c r="F31" s="9" t="n">
        <f aca="false">F30+E31</f>
        <v>65.125</v>
      </c>
    </row>
    <row r="32" customFormat="false" ht="15" hidden="false" customHeight="false" outlineLevel="0" collapsed="false">
      <c r="A32" s="10" t="n">
        <v>11</v>
      </c>
      <c r="B32" s="12" t="n">
        <f aca="false">INDEX(Forecast!$B$2:$B$14,A32)</f>
        <v>46370</v>
      </c>
      <c r="C32" s="19" t="n">
        <v>0</v>
      </c>
      <c r="D32" s="25" t="n">
        <v>0</v>
      </c>
      <c r="E32" s="26" t="n">
        <v>0</v>
      </c>
      <c r="F32" s="9" t="n">
        <f aca="false">F31+E32</f>
        <v>65.125</v>
      </c>
    </row>
    <row r="33" customFormat="false" ht="15" hidden="false" customHeight="false" outlineLevel="0" collapsed="false">
      <c r="A33" s="10" t="n">
        <v>12</v>
      </c>
      <c r="B33" s="12" t="n">
        <f aca="false">INDEX(Forecast!$B$2:$B$14,A33)</f>
        <v>46377</v>
      </c>
      <c r="C33" s="19" t="n">
        <v>0</v>
      </c>
      <c r="D33" s="25" t="n">
        <v>0</v>
      </c>
      <c r="E33" s="26" t="n">
        <v>0</v>
      </c>
      <c r="F33" s="9" t="n">
        <f aca="false">F32+E33</f>
        <v>65.125</v>
      </c>
    </row>
    <row r="34" customFormat="false" ht="15" hidden="false" customHeight="false" outlineLevel="0" collapsed="false">
      <c r="A34" s="10" t="n">
        <v>13</v>
      </c>
      <c r="B34" s="12" t="n">
        <f aca="false">INDEX(Forecast!$B$2:$B$14,A34)</f>
        <v>46384</v>
      </c>
      <c r="C34" s="19" t="n">
        <v>0</v>
      </c>
      <c r="D34" s="25" t="n">
        <v>0</v>
      </c>
      <c r="E34" s="26" t="n">
        <v>0</v>
      </c>
      <c r="F34" s="9" t="n">
        <f aca="false">F33+E34</f>
        <v>65.125</v>
      </c>
    </row>
    <row r="36" customFormat="false" ht="15" hidden="false" customHeight="false" outlineLevel="0" collapsed="false">
      <c r="A36" s="2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31.5" hidden="false" customHeight="true" outlineLevel="0" collapsed="false">
      <c r="A1" s="7" t="s">
        <v>65</v>
      </c>
      <c r="B1" s="7" t="s">
        <v>32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</row>
    <row r="2" customFormat="false" ht="15" hidden="false" customHeight="false" outlineLevel="0" collapsed="false">
      <c r="A2" s="10" t="n">
        <v>1</v>
      </c>
      <c r="B2" s="28" t="n">
        <v>46300</v>
      </c>
      <c r="C2" s="22" t="n">
        <v>4558</v>
      </c>
      <c r="D2" s="22" t="n">
        <v>4315</v>
      </c>
      <c r="E2" s="22" t="n">
        <v>4800</v>
      </c>
      <c r="F2" s="22" t="n">
        <v>2855</v>
      </c>
      <c r="G2" s="22" t="n">
        <v>2627</v>
      </c>
      <c r="H2" s="22" t="n">
        <v>3084</v>
      </c>
    </row>
    <row r="3" customFormat="false" ht="15" hidden="false" customHeight="false" outlineLevel="0" collapsed="false">
      <c r="A3" s="10" t="n">
        <v>2</v>
      </c>
      <c r="B3" s="28" t="n">
        <v>46307</v>
      </c>
      <c r="C3" s="22" t="n">
        <v>4598</v>
      </c>
      <c r="D3" s="22" t="n">
        <v>4355</v>
      </c>
      <c r="E3" s="22" t="n">
        <v>4840</v>
      </c>
      <c r="F3" s="22" t="n">
        <v>2920</v>
      </c>
      <c r="G3" s="22" t="n">
        <v>2691</v>
      </c>
      <c r="H3" s="22" t="n">
        <v>3149</v>
      </c>
    </row>
    <row r="4" customFormat="false" ht="15" hidden="false" customHeight="false" outlineLevel="0" collapsed="false">
      <c r="A4" s="10" t="n">
        <v>3</v>
      </c>
      <c r="B4" s="28" t="n">
        <v>46314</v>
      </c>
      <c r="C4" s="22" t="n">
        <v>4737</v>
      </c>
      <c r="D4" s="22" t="n">
        <v>4494</v>
      </c>
      <c r="E4" s="22" t="n">
        <v>4979</v>
      </c>
      <c r="F4" s="22" t="n">
        <v>2993</v>
      </c>
      <c r="G4" s="22" t="n">
        <v>2765</v>
      </c>
      <c r="H4" s="22" t="n">
        <v>3222</v>
      </c>
    </row>
    <row r="5" customFormat="false" ht="15" hidden="false" customHeight="false" outlineLevel="0" collapsed="false">
      <c r="A5" s="10" t="n">
        <v>4</v>
      </c>
      <c r="B5" s="28" t="n">
        <v>46321</v>
      </c>
      <c r="C5" s="22" t="n">
        <v>4893</v>
      </c>
      <c r="D5" s="22" t="n">
        <v>4650</v>
      </c>
      <c r="E5" s="22" t="n">
        <v>5135</v>
      </c>
      <c r="F5" s="22" t="n">
        <v>2887</v>
      </c>
      <c r="G5" s="22" t="n">
        <v>2658</v>
      </c>
      <c r="H5" s="22" t="n">
        <v>3115</v>
      </c>
    </row>
    <row r="6" customFormat="false" ht="15" hidden="false" customHeight="false" outlineLevel="0" collapsed="false">
      <c r="A6" s="10" t="n">
        <v>5</v>
      </c>
      <c r="B6" s="28" t="n">
        <v>46328</v>
      </c>
      <c r="C6" s="22" t="n">
        <v>4669</v>
      </c>
      <c r="D6" s="22" t="n">
        <v>4427</v>
      </c>
      <c r="E6" s="22" t="n">
        <v>4912</v>
      </c>
      <c r="F6" s="22" t="n">
        <v>2919</v>
      </c>
      <c r="G6" s="22" t="n">
        <v>2690</v>
      </c>
      <c r="H6" s="22" t="n">
        <v>3147</v>
      </c>
    </row>
    <row r="7" customFormat="false" ht="15" hidden="false" customHeight="false" outlineLevel="0" collapsed="false">
      <c r="A7" s="10" t="n">
        <v>6</v>
      </c>
      <c r="B7" s="28" t="n">
        <v>46335</v>
      </c>
      <c r="C7" s="22" t="n">
        <v>4653</v>
      </c>
      <c r="D7" s="22" t="n">
        <v>4410</v>
      </c>
      <c r="E7" s="22" t="n">
        <v>4896</v>
      </c>
      <c r="F7" s="22" t="n">
        <v>2934</v>
      </c>
      <c r="G7" s="22" t="n">
        <v>2705</v>
      </c>
      <c r="H7" s="22" t="n">
        <v>3162</v>
      </c>
    </row>
    <row r="8" customFormat="false" ht="15" hidden="false" customHeight="false" outlineLevel="0" collapsed="false">
      <c r="A8" s="10" t="n">
        <v>7</v>
      </c>
      <c r="B8" s="28" t="n">
        <v>46342</v>
      </c>
      <c r="C8" s="22" t="n">
        <v>4727</v>
      </c>
      <c r="D8" s="22" t="n">
        <v>4484</v>
      </c>
      <c r="E8" s="22" t="n">
        <v>4969</v>
      </c>
      <c r="F8" s="22" t="n">
        <v>3031</v>
      </c>
      <c r="G8" s="22" t="n">
        <v>2802</v>
      </c>
      <c r="H8" s="22" t="n">
        <v>3260</v>
      </c>
    </row>
    <row r="9" customFormat="false" ht="15" hidden="false" customHeight="false" outlineLevel="0" collapsed="false">
      <c r="A9" s="10" t="n">
        <v>8</v>
      </c>
      <c r="B9" s="28" t="n">
        <v>46349</v>
      </c>
      <c r="C9" s="22" t="n">
        <v>5094</v>
      </c>
      <c r="D9" s="22" t="n">
        <v>4851</v>
      </c>
      <c r="E9" s="22" t="n">
        <v>5336</v>
      </c>
      <c r="F9" s="22" t="n">
        <v>3148</v>
      </c>
      <c r="G9" s="22" t="n">
        <v>2919</v>
      </c>
      <c r="H9" s="22" t="n">
        <v>3376</v>
      </c>
    </row>
    <row r="10" customFormat="false" ht="15" hidden="false" customHeight="false" outlineLevel="0" collapsed="false">
      <c r="A10" s="10" t="n">
        <v>9</v>
      </c>
      <c r="B10" s="28" t="n">
        <v>46356</v>
      </c>
      <c r="C10" s="22" t="n">
        <v>4338</v>
      </c>
      <c r="D10" s="22" t="n">
        <v>4095</v>
      </c>
      <c r="E10" s="22" t="n">
        <v>4580</v>
      </c>
      <c r="F10" s="22" t="n">
        <v>2832</v>
      </c>
      <c r="G10" s="22" t="n">
        <v>2603</v>
      </c>
      <c r="H10" s="22" t="n">
        <v>3060</v>
      </c>
    </row>
    <row r="11" customFormat="false" ht="15" hidden="false" customHeight="false" outlineLevel="0" collapsed="false">
      <c r="A11" s="10" t="n">
        <v>10</v>
      </c>
      <c r="B11" s="28" t="n">
        <v>46363</v>
      </c>
      <c r="C11" s="22" t="n">
        <v>4319</v>
      </c>
      <c r="D11" s="22" t="n">
        <v>4076</v>
      </c>
      <c r="E11" s="22" t="n">
        <v>4561</v>
      </c>
      <c r="F11" s="22" t="n">
        <v>2794</v>
      </c>
      <c r="G11" s="22" t="n">
        <v>2565</v>
      </c>
      <c r="H11" s="22" t="n">
        <v>3022</v>
      </c>
    </row>
    <row r="12" customFormat="false" ht="15" hidden="false" customHeight="false" outlineLevel="0" collapsed="false">
      <c r="A12" s="10" t="n">
        <v>11</v>
      </c>
      <c r="B12" s="28" t="n">
        <v>46370</v>
      </c>
      <c r="C12" s="22" t="n">
        <v>4540</v>
      </c>
      <c r="D12" s="22" t="n">
        <v>4298</v>
      </c>
      <c r="E12" s="22" t="n">
        <v>4783</v>
      </c>
      <c r="F12" s="22" t="n">
        <v>2768</v>
      </c>
      <c r="G12" s="22" t="n">
        <v>2539</v>
      </c>
      <c r="H12" s="22" t="n">
        <v>2996</v>
      </c>
    </row>
    <row r="13" customFormat="false" ht="15" hidden="false" customHeight="false" outlineLevel="0" collapsed="false">
      <c r="A13" s="10" t="n">
        <v>12</v>
      </c>
      <c r="B13" s="28" t="n">
        <v>46377</v>
      </c>
      <c r="C13" s="22" t="n">
        <v>4335</v>
      </c>
      <c r="D13" s="22" t="n">
        <v>4093</v>
      </c>
      <c r="E13" s="22" t="n">
        <v>4578</v>
      </c>
      <c r="F13" s="22" t="n">
        <v>2657</v>
      </c>
      <c r="G13" s="22" t="n">
        <v>2428</v>
      </c>
      <c r="H13" s="22" t="n">
        <v>2885</v>
      </c>
    </row>
    <row r="14" customFormat="false" ht="15" hidden="false" customHeight="false" outlineLevel="0" collapsed="false">
      <c r="A14" s="10" t="n">
        <v>13</v>
      </c>
      <c r="B14" s="28" t="n">
        <v>46384</v>
      </c>
      <c r="C14" s="22" t="n">
        <v>3894</v>
      </c>
      <c r="D14" s="22" t="n">
        <v>3651</v>
      </c>
      <c r="E14" s="22" t="n">
        <v>4136</v>
      </c>
      <c r="F14" s="22" t="n">
        <v>2360</v>
      </c>
      <c r="G14" s="22" t="n">
        <v>2131</v>
      </c>
      <c r="H14" s="22" t="n">
        <v>2588</v>
      </c>
    </row>
    <row r="16" customFormat="false" ht="15" hidden="false" customHeight="false" outlineLevel="0" collapsed="false">
      <c r="A16" s="2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22" min="4" style="0" width="13"/>
  </cols>
  <sheetData>
    <row r="1" customFormat="false" ht="43.5" hidden="false" customHeight="true" outlineLevel="0" collapsed="false">
      <c r="A1" s="7" t="s">
        <v>77</v>
      </c>
      <c r="B1" s="7" t="s">
        <v>22</v>
      </c>
      <c r="C1" s="7" t="s">
        <v>65</v>
      </c>
      <c r="D1" s="7" t="s">
        <v>32</v>
      </c>
      <c r="E1" s="7" t="s">
        <v>78</v>
      </c>
      <c r="F1" s="7" t="s">
        <v>79</v>
      </c>
      <c r="G1" s="7" t="s">
        <v>80</v>
      </c>
      <c r="H1" s="7" t="s">
        <v>81</v>
      </c>
      <c r="I1" s="7" t="s">
        <v>82</v>
      </c>
      <c r="J1" s="7" t="s">
        <v>83</v>
      </c>
      <c r="K1" s="7" t="s">
        <v>84</v>
      </c>
      <c r="L1" s="7" t="s">
        <v>85</v>
      </c>
      <c r="M1" s="7" t="s">
        <v>86</v>
      </c>
      <c r="N1" s="7" t="s">
        <v>87</v>
      </c>
      <c r="O1" s="7" t="s">
        <v>33</v>
      </c>
      <c r="P1" s="7" t="s">
        <v>34</v>
      </c>
      <c r="Q1" s="7" t="s">
        <v>35</v>
      </c>
      <c r="R1" s="7" t="s">
        <v>88</v>
      </c>
      <c r="S1" s="7" t="s">
        <v>89</v>
      </c>
      <c r="T1" s="7" t="s">
        <v>90</v>
      </c>
      <c r="U1" s="7" t="s">
        <v>91</v>
      </c>
      <c r="V1" s="7" t="s">
        <v>92</v>
      </c>
    </row>
    <row r="2" customFormat="false" ht="15" hidden="false" customHeight="false" outlineLevel="0" collapsed="false">
      <c r="A2" s="10" t="n">
        <v>1</v>
      </c>
      <c r="B2" s="8" t="s">
        <v>28</v>
      </c>
      <c r="C2" s="10" t="n">
        <v>1</v>
      </c>
      <c r="D2" s="12" t="n">
        <f aca="false">INDEX(Forecast!$B$2:$B$14,C2)</f>
        <v>46300</v>
      </c>
      <c r="E2" s="15" t="n">
        <f aca="false">INDEX(Forecast!$C$2:$C$14,C2)</f>
        <v>4558</v>
      </c>
      <c r="F2" s="15" t="n">
        <f aca="false">INDEX(Forecast!$F$2:$F$14,C2)</f>
        <v>2855</v>
      </c>
      <c r="G2" s="16" t="n">
        <f aca="false">IF(A2&gt;=2,CHANGE_CASES*INDEX(Assumptions!$C$22:$C$34,C2),0)</f>
        <v>0</v>
      </c>
      <c r="H2" s="10" t="n">
        <f aca="false">IF(AND(A2=3,INDEX(Assumptions!$D$22:$D$34,C2)=1),1,0)</f>
        <v>0</v>
      </c>
      <c r="I2" s="29" t="n">
        <f aca="false">1+H2*PEAK_UPLIFT</f>
        <v>1</v>
      </c>
      <c r="J2" s="30" t="n">
        <f aca="false">IF(H2=1,PEAK_SHRINK,SHRINK)</f>
        <v>0.3</v>
      </c>
      <c r="K2" s="16" t="n">
        <f aca="false">E2*I2</f>
        <v>4558</v>
      </c>
      <c r="L2" s="16" t="n">
        <f aca="false">(F2+G2)*I2</f>
        <v>2855</v>
      </c>
      <c r="M2" s="31" t="n">
        <f aca="false">K2*AHT_CALL/60+L2*(1-OUT_SHARE)*AHT_CASE/60</f>
        <v>1316.89166666667</v>
      </c>
      <c r="N2" s="29" t="n">
        <f aca="false">CONTRACT_HRS*(1-J2)*OCC</f>
        <v>22.3125</v>
      </c>
      <c r="O2" s="32" t="n">
        <f aca="false">M2/N2</f>
        <v>59.0203548085901</v>
      </c>
      <c r="P2" s="13" t="n">
        <f aca="false">INDEX(Assumptions!$F$22:$F$34,C2)</f>
        <v>64.125</v>
      </c>
      <c r="Q2" s="9" t="n">
        <f aca="false">MAX(0,O2-P2)</f>
        <v>0</v>
      </c>
      <c r="R2" s="31" t="n">
        <f aca="false">P2*OT_HRS</f>
        <v>256.5</v>
      </c>
      <c r="S2" s="31" t="n">
        <f aca="false">MAX(0,Q2*N2-R2)</f>
        <v>0</v>
      </c>
      <c r="T2" s="11" t="n">
        <f aca="false">IF(S2&gt;0,ROUNDUP(S2/N2,0),0)</f>
        <v>0</v>
      </c>
      <c r="U2" s="16" t="n">
        <f aca="false">L2*OUT_SHARE</f>
        <v>713.75</v>
      </c>
      <c r="V2" s="10" t="n">
        <f aca="false">IF(U2&gt;PROV_CAP,1,0)</f>
        <v>0</v>
      </c>
    </row>
    <row r="3" customFormat="false" ht="15" hidden="false" customHeight="false" outlineLevel="0" collapsed="false">
      <c r="A3" s="10" t="n">
        <v>1</v>
      </c>
      <c r="B3" s="8" t="s">
        <v>28</v>
      </c>
      <c r="C3" s="10" t="n">
        <v>2</v>
      </c>
      <c r="D3" s="12" t="n">
        <f aca="false">INDEX(Forecast!$B$2:$B$14,C3)</f>
        <v>46307</v>
      </c>
      <c r="E3" s="15" t="n">
        <f aca="false">INDEX(Forecast!$C$2:$C$14,C3)</f>
        <v>4598</v>
      </c>
      <c r="F3" s="15" t="n">
        <f aca="false">INDEX(Forecast!$F$2:$F$14,C3)</f>
        <v>2920</v>
      </c>
      <c r="G3" s="16" t="n">
        <f aca="false">IF(A3&gt;=2,CHANGE_CASES*INDEX(Assumptions!$C$22:$C$34,C3),0)</f>
        <v>0</v>
      </c>
      <c r="H3" s="10" t="n">
        <f aca="false">IF(AND(A3=3,INDEX(Assumptions!$D$22:$D$34,C3)=1),1,0)</f>
        <v>0</v>
      </c>
      <c r="I3" s="29" t="n">
        <f aca="false">1+H3*PEAK_UPLIFT</f>
        <v>1</v>
      </c>
      <c r="J3" s="30" t="n">
        <f aca="false">IF(H3=1,PEAK_SHRINK,SHRINK)</f>
        <v>0.3</v>
      </c>
      <c r="K3" s="16" t="n">
        <f aca="false">E3*I3</f>
        <v>4598</v>
      </c>
      <c r="L3" s="16" t="n">
        <f aca="false">(F3+G3)*I3</f>
        <v>2920</v>
      </c>
      <c r="M3" s="31" t="n">
        <f aca="false">K3*AHT_CALL/60+L3*(1-OUT_SHARE)*AHT_CASE/60</f>
        <v>1339.43333333333</v>
      </c>
      <c r="N3" s="29" t="n">
        <f aca="false">CONTRACT_HRS*(1-J3)*OCC</f>
        <v>22.3125</v>
      </c>
      <c r="O3" s="32" t="n">
        <f aca="false">M3/N3</f>
        <v>60.0306255835668</v>
      </c>
      <c r="P3" s="13" t="n">
        <f aca="false">INDEX(Assumptions!$F$22:$F$34,C3)</f>
        <v>64.125</v>
      </c>
      <c r="Q3" s="9" t="n">
        <f aca="false">MAX(0,O3-P3)</f>
        <v>0</v>
      </c>
      <c r="R3" s="31" t="n">
        <f aca="false">P3*OT_HRS</f>
        <v>256.5</v>
      </c>
      <c r="S3" s="31" t="n">
        <f aca="false">MAX(0,Q3*N3-R3)</f>
        <v>0</v>
      </c>
      <c r="T3" s="11" t="n">
        <f aca="false">IF(S3&gt;0,ROUNDUP(S3/N3,0),0)</f>
        <v>0</v>
      </c>
      <c r="U3" s="16" t="n">
        <f aca="false">L3*OUT_SHARE</f>
        <v>730</v>
      </c>
      <c r="V3" s="10" t="n">
        <f aca="false">IF(U3&gt;PROV_CAP,1,0)</f>
        <v>0</v>
      </c>
    </row>
    <row r="4" customFormat="false" ht="15" hidden="false" customHeight="false" outlineLevel="0" collapsed="false">
      <c r="A4" s="10" t="n">
        <v>1</v>
      </c>
      <c r="B4" s="8" t="s">
        <v>28</v>
      </c>
      <c r="C4" s="10" t="n">
        <v>3</v>
      </c>
      <c r="D4" s="12" t="n">
        <f aca="false">INDEX(Forecast!$B$2:$B$14,C4)</f>
        <v>46314</v>
      </c>
      <c r="E4" s="15" t="n">
        <f aca="false">INDEX(Forecast!$C$2:$C$14,C4)</f>
        <v>4737</v>
      </c>
      <c r="F4" s="15" t="n">
        <f aca="false">INDEX(Forecast!$F$2:$F$14,C4)</f>
        <v>2993</v>
      </c>
      <c r="G4" s="16" t="n">
        <f aca="false">IF(A4&gt;=2,CHANGE_CASES*INDEX(Assumptions!$C$22:$C$34,C4),0)</f>
        <v>0</v>
      </c>
      <c r="H4" s="10" t="n">
        <f aca="false">IF(AND(A4=3,INDEX(Assumptions!$D$22:$D$34,C4)=1),1,0)</f>
        <v>0</v>
      </c>
      <c r="I4" s="29" t="n">
        <f aca="false">1+H4*PEAK_UPLIFT</f>
        <v>1</v>
      </c>
      <c r="J4" s="30" t="n">
        <f aca="false">IF(H4=1,PEAK_SHRINK,SHRINK)</f>
        <v>0.3</v>
      </c>
      <c r="K4" s="16" t="n">
        <f aca="false">E4*I4</f>
        <v>4737</v>
      </c>
      <c r="L4" s="16" t="n">
        <f aca="false">(F4+G4)*I4</f>
        <v>2993</v>
      </c>
      <c r="M4" s="31" t="n">
        <f aca="false">K4*AHT_CALL/60+L4*(1-OUT_SHARE)*AHT_CASE/60</f>
        <v>1375.725</v>
      </c>
      <c r="N4" s="29" t="n">
        <f aca="false">CONTRACT_HRS*(1-J4)*OCC</f>
        <v>22.3125</v>
      </c>
      <c r="O4" s="32" t="n">
        <f aca="false">M4/N4</f>
        <v>61.6571428571429</v>
      </c>
      <c r="P4" s="13" t="n">
        <f aca="false">INDEX(Assumptions!$F$22:$F$34,C4)</f>
        <v>64.125</v>
      </c>
      <c r="Q4" s="9" t="n">
        <f aca="false">MAX(0,O4-P4)</f>
        <v>0</v>
      </c>
      <c r="R4" s="31" t="n">
        <f aca="false">P4*OT_HRS</f>
        <v>256.5</v>
      </c>
      <c r="S4" s="31" t="n">
        <f aca="false">MAX(0,Q4*N4-R4)</f>
        <v>0</v>
      </c>
      <c r="T4" s="11" t="n">
        <f aca="false">IF(S4&gt;0,ROUNDUP(S4/N4,0),0)</f>
        <v>0</v>
      </c>
      <c r="U4" s="16" t="n">
        <f aca="false">L4*OUT_SHARE</f>
        <v>748.25</v>
      </c>
      <c r="V4" s="10" t="n">
        <f aca="false">IF(U4&gt;PROV_CAP,1,0)</f>
        <v>0</v>
      </c>
    </row>
    <row r="5" customFormat="false" ht="15" hidden="false" customHeight="false" outlineLevel="0" collapsed="false">
      <c r="A5" s="10" t="n">
        <v>1</v>
      </c>
      <c r="B5" s="8" t="s">
        <v>28</v>
      </c>
      <c r="C5" s="10" t="n">
        <v>4</v>
      </c>
      <c r="D5" s="12" t="n">
        <f aca="false">INDEX(Forecast!$B$2:$B$14,C5)</f>
        <v>46321</v>
      </c>
      <c r="E5" s="15" t="n">
        <f aca="false">INDEX(Forecast!$C$2:$C$14,C5)</f>
        <v>4893</v>
      </c>
      <c r="F5" s="15" t="n">
        <f aca="false">INDEX(Forecast!$F$2:$F$14,C5)</f>
        <v>2887</v>
      </c>
      <c r="G5" s="16" t="n">
        <f aca="false">IF(A5&gt;=2,CHANGE_CASES*INDEX(Assumptions!$C$22:$C$34,C5),0)</f>
        <v>0</v>
      </c>
      <c r="H5" s="10" t="n">
        <f aca="false">IF(AND(A5=3,INDEX(Assumptions!$D$22:$D$34,C5)=1),1,0)</f>
        <v>0</v>
      </c>
      <c r="I5" s="29" t="n">
        <f aca="false">1+H5*PEAK_UPLIFT</f>
        <v>1</v>
      </c>
      <c r="J5" s="30" t="n">
        <f aca="false">IF(H5=1,PEAK_SHRINK,SHRINK)</f>
        <v>0.3</v>
      </c>
      <c r="K5" s="16" t="n">
        <f aca="false">E5*I5</f>
        <v>4893</v>
      </c>
      <c r="L5" s="16" t="n">
        <f aca="false">(F5+G5)*I5</f>
        <v>2887</v>
      </c>
      <c r="M5" s="31" t="n">
        <f aca="false">K5*AHT_CALL/60+L5*(1-OUT_SHARE)*AHT_CASE/60</f>
        <v>1364.775</v>
      </c>
      <c r="N5" s="29" t="n">
        <f aca="false">CONTRACT_HRS*(1-J5)*OCC</f>
        <v>22.3125</v>
      </c>
      <c r="O5" s="32" t="n">
        <f aca="false">M5/N5</f>
        <v>61.1663865546219</v>
      </c>
      <c r="P5" s="13" t="n">
        <f aca="false">INDEX(Assumptions!$F$22:$F$34,C5)</f>
        <v>64.125</v>
      </c>
      <c r="Q5" s="9" t="n">
        <f aca="false">MAX(0,O5-P5)</f>
        <v>0</v>
      </c>
      <c r="R5" s="31" t="n">
        <f aca="false">P5*OT_HRS</f>
        <v>256.5</v>
      </c>
      <c r="S5" s="31" t="n">
        <f aca="false">MAX(0,Q5*N5-R5)</f>
        <v>0</v>
      </c>
      <c r="T5" s="11" t="n">
        <f aca="false">IF(S5&gt;0,ROUNDUP(S5/N5,0),0)</f>
        <v>0</v>
      </c>
      <c r="U5" s="16" t="n">
        <f aca="false">L5*OUT_SHARE</f>
        <v>721.75</v>
      </c>
      <c r="V5" s="10" t="n">
        <f aca="false">IF(U5&gt;PROV_CAP,1,0)</f>
        <v>0</v>
      </c>
    </row>
    <row r="6" customFormat="false" ht="15" hidden="false" customHeight="false" outlineLevel="0" collapsed="false">
      <c r="A6" s="10" t="n">
        <v>1</v>
      </c>
      <c r="B6" s="8" t="s">
        <v>28</v>
      </c>
      <c r="C6" s="10" t="n">
        <v>5</v>
      </c>
      <c r="D6" s="12" t="n">
        <f aca="false">INDEX(Forecast!$B$2:$B$14,C6)</f>
        <v>46328</v>
      </c>
      <c r="E6" s="15" t="n">
        <f aca="false">INDEX(Forecast!$C$2:$C$14,C6)</f>
        <v>4669</v>
      </c>
      <c r="F6" s="15" t="n">
        <f aca="false">INDEX(Forecast!$F$2:$F$14,C6)</f>
        <v>2919</v>
      </c>
      <c r="G6" s="16" t="n">
        <f aca="false">IF(A6&gt;=2,CHANGE_CASES*INDEX(Assumptions!$C$22:$C$34,C6),0)</f>
        <v>0</v>
      </c>
      <c r="H6" s="10" t="n">
        <f aca="false">IF(AND(A6=3,INDEX(Assumptions!$D$22:$D$34,C6)=1),1,0)</f>
        <v>0</v>
      </c>
      <c r="I6" s="29" t="n">
        <f aca="false">1+H6*PEAK_UPLIFT</f>
        <v>1</v>
      </c>
      <c r="J6" s="30" t="n">
        <f aca="false">IF(H6=1,PEAK_SHRINK,SHRINK)</f>
        <v>0.3</v>
      </c>
      <c r="K6" s="16" t="n">
        <f aca="false">E6*I6</f>
        <v>4669</v>
      </c>
      <c r="L6" s="16" t="n">
        <f aca="false">(F6+G6)*I6</f>
        <v>2919</v>
      </c>
      <c r="M6" s="31" t="n">
        <f aca="false">K6*AHT_CALL/60+L6*(1-OUT_SHARE)*AHT_CASE/60</f>
        <v>1347.44166666667</v>
      </c>
      <c r="N6" s="29" t="n">
        <f aca="false">CONTRACT_HRS*(1-J6)*OCC</f>
        <v>22.3125</v>
      </c>
      <c r="O6" s="32" t="n">
        <f aca="false">M6/N6</f>
        <v>60.3895424836601</v>
      </c>
      <c r="P6" s="13" t="n">
        <f aca="false">INDEX(Assumptions!$F$22:$F$34,C6)</f>
        <v>62.125</v>
      </c>
      <c r="Q6" s="9" t="n">
        <f aca="false">MAX(0,O6-P6)</f>
        <v>0</v>
      </c>
      <c r="R6" s="31" t="n">
        <f aca="false">P6*OT_HRS</f>
        <v>248.5</v>
      </c>
      <c r="S6" s="31" t="n">
        <f aca="false">MAX(0,Q6*N6-R6)</f>
        <v>0</v>
      </c>
      <c r="T6" s="11" t="n">
        <f aca="false">IF(S6&gt;0,ROUNDUP(S6/N6,0),0)</f>
        <v>0</v>
      </c>
      <c r="U6" s="16" t="n">
        <f aca="false">L6*OUT_SHARE</f>
        <v>729.75</v>
      </c>
      <c r="V6" s="10" t="n">
        <f aca="false">IF(U6&gt;PROV_CAP,1,0)</f>
        <v>0</v>
      </c>
    </row>
    <row r="7" customFormat="false" ht="15" hidden="false" customHeight="false" outlineLevel="0" collapsed="false">
      <c r="A7" s="10" t="n">
        <v>1</v>
      </c>
      <c r="B7" s="8" t="s">
        <v>28</v>
      </c>
      <c r="C7" s="10" t="n">
        <v>6</v>
      </c>
      <c r="D7" s="12" t="n">
        <f aca="false">INDEX(Forecast!$B$2:$B$14,C7)</f>
        <v>46335</v>
      </c>
      <c r="E7" s="15" t="n">
        <f aca="false">INDEX(Forecast!$C$2:$C$14,C7)</f>
        <v>4653</v>
      </c>
      <c r="F7" s="15" t="n">
        <f aca="false">INDEX(Forecast!$F$2:$F$14,C7)</f>
        <v>2934</v>
      </c>
      <c r="G7" s="16" t="n">
        <f aca="false">IF(A7&gt;=2,CHANGE_CASES*INDEX(Assumptions!$C$22:$C$34,C7),0)</f>
        <v>0</v>
      </c>
      <c r="H7" s="10" t="n">
        <f aca="false">IF(AND(A7=3,INDEX(Assumptions!$D$22:$D$34,C7)=1),1,0)</f>
        <v>0</v>
      </c>
      <c r="I7" s="29" t="n">
        <f aca="false">1+H7*PEAK_UPLIFT</f>
        <v>1</v>
      </c>
      <c r="J7" s="30" t="n">
        <f aca="false">IF(H7=1,PEAK_SHRINK,SHRINK)</f>
        <v>0.3</v>
      </c>
      <c r="K7" s="16" t="n">
        <f aca="false">E7*I7</f>
        <v>4653</v>
      </c>
      <c r="L7" s="16" t="n">
        <f aca="false">(F7+G7)*I7</f>
        <v>2934</v>
      </c>
      <c r="M7" s="31" t="n">
        <f aca="false">K7*AHT_CALL/60+L7*(1-OUT_SHARE)*AHT_CASE/60</f>
        <v>1349.7</v>
      </c>
      <c r="N7" s="29" t="n">
        <f aca="false">CONTRACT_HRS*(1-J7)*OCC</f>
        <v>22.3125</v>
      </c>
      <c r="O7" s="32" t="n">
        <f aca="false">M7/N7</f>
        <v>60.490756302521</v>
      </c>
      <c r="P7" s="13" t="n">
        <f aca="false">INDEX(Assumptions!$F$22:$F$34,C7)</f>
        <v>62.125</v>
      </c>
      <c r="Q7" s="9" t="n">
        <f aca="false">MAX(0,O7-P7)</f>
        <v>0</v>
      </c>
      <c r="R7" s="31" t="n">
        <f aca="false">P7*OT_HRS</f>
        <v>248.5</v>
      </c>
      <c r="S7" s="31" t="n">
        <f aca="false">MAX(0,Q7*N7-R7)</f>
        <v>0</v>
      </c>
      <c r="T7" s="11" t="n">
        <f aca="false">IF(S7&gt;0,ROUNDUP(S7/N7,0),0)</f>
        <v>0</v>
      </c>
      <c r="U7" s="16" t="n">
        <f aca="false">L7*OUT_SHARE</f>
        <v>733.5</v>
      </c>
      <c r="V7" s="10" t="n">
        <f aca="false">IF(U7&gt;PROV_CAP,1,0)</f>
        <v>0</v>
      </c>
    </row>
    <row r="8" customFormat="false" ht="15" hidden="false" customHeight="false" outlineLevel="0" collapsed="false">
      <c r="A8" s="10" t="n">
        <v>1</v>
      </c>
      <c r="B8" s="8" t="s">
        <v>28</v>
      </c>
      <c r="C8" s="10" t="n">
        <v>7</v>
      </c>
      <c r="D8" s="12" t="n">
        <f aca="false">INDEX(Forecast!$B$2:$B$14,C8)</f>
        <v>46342</v>
      </c>
      <c r="E8" s="15" t="n">
        <f aca="false">INDEX(Forecast!$C$2:$C$14,C8)</f>
        <v>4727</v>
      </c>
      <c r="F8" s="15" t="n">
        <f aca="false">INDEX(Forecast!$F$2:$F$14,C8)</f>
        <v>3031</v>
      </c>
      <c r="G8" s="16" t="n">
        <f aca="false">IF(A8&gt;=2,CHANGE_CASES*INDEX(Assumptions!$C$22:$C$34,C8),0)</f>
        <v>0</v>
      </c>
      <c r="H8" s="10" t="n">
        <f aca="false">IF(AND(A8=3,INDEX(Assumptions!$D$22:$D$34,C8)=1),1,0)</f>
        <v>0</v>
      </c>
      <c r="I8" s="29" t="n">
        <f aca="false">1+H8*PEAK_UPLIFT</f>
        <v>1</v>
      </c>
      <c r="J8" s="30" t="n">
        <f aca="false">IF(H8=1,PEAK_SHRINK,SHRINK)</f>
        <v>0.3</v>
      </c>
      <c r="K8" s="16" t="n">
        <f aca="false">E8*I8</f>
        <v>4727</v>
      </c>
      <c r="L8" s="16" t="n">
        <f aca="false">(F8+G8)*I8</f>
        <v>3031</v>
      </c>
      <c r="M8" s="31" t="n">
        <f aca="false">K8*AHT_CALL/60+L8*(1-OUT_SHARE)*AHT_CASE/60</f>
        <v>1385.00833333333</v>
      </c>
      <c r="N8" s="29" t="n">
        <f aca="false">CONTRACT_HRS*(1-J8)*OCC</f>
        <v>22.3125</v>
      </c>
      <c r="O8" s="32" t="n">
        <f aca="false">M8/N8</f>
        <v>62.0732026143791</v>
      </c>
      <c r="P8" s="13" t="n">
        <f aca="false">INDEX(Assumptions!$F$22:$F$34,C8)</f>
        <v>62.125</v>
      </c>
      <c r="Q8" s="9" t="n">
        <f aca="false">MAX(0,O8-P8)</f>
        <v>0</v>
      </c>
      <c r="R8" s="31" t="n">
        <f aca="false">P8*OT_HRS</f>
        <v>248.5</v>
      </c>
      <c r="S8" s="31" t="n">
        <f aca="false">MAX(0,Q8*N8-R8)</f>
        <v>0</v>
      </c>
      <c r="T8" s="11" t="n">
        <f aca="false">IF(S8&gt;0,ROUNDUP(S8/N8,0),0)</f>
        <v>0</v>
      </c>
      <c r="U8" s="16" t="n">
        <f aca="false">L8*OUT_SHARE</f>
        <v>757.75</v>
      </c>
      <c r="V8" s="10" t="n">
        <f aca="false">IF(U8&gt;PROV_CAP,1,0)</f>
        <v>0</v>
      </c>
    </row>
    <row r="9" customFormat="false" ht="15" hidden="false" customHeight="false" outlineLevel="0" collapsed="false">
      <c r="A9" s="10" t="n">
        <v>1</v>
      </c>
      <c r="B9" s="8" t="s">
        <v>28</v>
      </c>
      <c r="C9" s="10" t="n">
        <v>8</v>
      </c>
      <c r="D9" s="12" t="n">
        <f aca="false">INDEX(Forecast!$B$2:$B$14,C9)</f>
        <v>46349</v>
      </c>
      <c r="E9" s="15" t="n">
        <f aca="false">INDEX(Forecast!$C$2:$C$14,C9)</f>
        <v>5094</v>
      </c>
      <c r="F9" s="15" t="n">
        <f aca="false">INDEX(Forecast!$F$2:$F$14,C9)</f>
        <v>3148</v>
      </c>
      <c r="G9" s="16" t="n">
        <f aca="false">IF(A9&gt;=2,CHANGE_CASES*INDEX(Assumptions!$C$22:$C$34,C9),0)</f>
        <v>0</v>
      </c>
      <c r="H9" s="10" t="n">
        <f aca="false">IF(AND(A9=3,INDEX(Assumptions!$D$22:$D$34,C9)=1),1,0)</f>
        <v>0</v>
      </c>
      <c r="I9" s="29" t="n">
        <f aca="false">1+H9*PEAK_UPLIFT</f>
        <v>1</v>
      </c>
      <c r="J9" s="30" t="n">
        <f aca="false">IF(H9=1,PEAK_SHRINK,SHRINK)</f>
        <v>0.3</v>
      </c>
      <c r="K9" s="16" t="n">
        <f aca="false">E9*I9</f>
        <v>5094</v>
      </c>
      <c r="L9" s="16" t="n">
        <f aca="false">(F9+G9)*I9</f>
        <v>3148</v>
      </c>
      <c r="M9" s="31" t="n">
        <f aca="false">K9*AHT_CALL/60+L9*(1-OUT_SHARE)*AHT_CASE/60</f>
        <v>1460</v>
      </c>
      <c r="N9" s="29" t="n">
        <f aca="false">CONTRACT_HRS*(1-J9)*OCC</f>
        <v>22.3125</v>
      </c>
      <c r="O9" s="32" t="n">
        <f aca="false">M9/N9</f>
        <v>65.4341736694678</v>
      </c>
      <c r="P9" s="13" t="n">
        <f aca="false">INDEX(Assumptions!$F$22:$F$34,C9)</f>
        <v>62.125</v>
      </c>
      <c r="Q9" s="9" t="n">
        <f aca="false">MAX(0,O9-P9)</f>
        <v>3.30917366946778</v>
      </c>
      <c r="R9" s="31" t="n">
        <f aca="false">P9*OT_HRS</f>
        <v>248.5</v>
      </c>
      <c r="S9" s="31" t="n">
        <f aca="false">MAX(0,Q9*N9-R9)</f>
        <v>0</v>
      </c>
      <c r="T9" s="11" t="n">
        <f aca="false">IF(S9&gt;0,ROUNDUP(S9/N9,0),0)</f>
        <v>0</v>
      </c>
      <c r="U9" s="16" t="n">
        <f aca="false">L9*OUT_SHARE</f>
        <v>787</v>
      </c>
      <c r="V9" s="10" t="n">
        <f aca="false">IF(U9&gt;PROV_CAP,1,0)</f>
        <v>0</v>
      </c>
    </row>
    <row r="10" customFormat="false" ht="15" hidden="false" customHeight="false" outlineLevel="0" collapsed="false">
      <c r="A10" s="10" t="n">
        <v>1</v>
      </c>
      <c r="B10" s="8" t="s">
        <v>28</v>
      </c>
      <c r="C10" s="10" t="n">
        <v>9</v>
      </c>
      <c r="D10" s="12" t="n">
        <f aca="false">INDEX(Forecast!$B$2:$B$14,C10)</f>
        <v>46356</v>
      </c>
      <c r="E10" s="15" t="n">
        <f aca="false">INDEX(Forecast!$C$2:$C$14,C10)</f>
        <v>4338</v>
      </c>
      <c r="F10" s="15" t="n">
        <f aca="false">INDEX(Forecast!$F$2:$F$14,C10)</f>
        <v>2832</v>
      </c>
      <c r="G10" s="16" t="n">
        <f aca="false">IF(A10&gt;=2,CHANGE_CASES*INDEX(Assumptions!$C$22:$C$34,C10),0)</f>
        <v>0</v>
      </c>
      <c r="H10" s="10" t="n">
        <f aca="false">IF(AND(A10=3,INDEX(Assumptions!$D$22:$D$34,C10)=1),1,0)</f>
        <v>0</v>
      </c>
      <c r="I10" s="29" t="n">
        <f aca="false">1+H10*PEAK_UPLIFT</f>
        <v>1</v>
      </c>
      <c r="J10" s="30" t="n">
        <f aca="false">IF(H10=1,PEAK_SHRINK,SHRINK)</f>
        <v>0.3</v>
      </c>
      <c r="K10" s="16" t="n">
        <f aca="false">E10*I10</f>
        <v>4338</v>
      </c>
      <c r="L10" s="16" t="n">
        <f aca="false">(F10+G10)*I10</f>
        <v>2832</v>
      </c>
      <c r="M10" s="31" t="n">
        <f aca="false">K10*AHT_CALL/60+L10*(1-OUT_SHARE)*AHT_CASE/60</f>
        <v>1284.9</v>
      </c>
      <c r="N10" s="29" t="n">
        <f aca="false">CONTRACT_HRS*(1-J10)*OCC</f>
        <v>22.3125</v>
      </c>
      <c r="O10" s="32" t="n">
        <f aca="false">M10/N10</f>
        <v>57.5865546218487</v>
      </c>
      <c r="P10" s="13" t="n">
        <f aca="false">INDEX(Assumptions!$F$22:$F$34,C10)</f>
        <v>65.125</v>
      </c>
      <c r="Q10" s="9" t="n">
        <f aca="false">MAX(0,O10-P10)</f>
        <v>0</v>
      </c>
      <c r="R10" s="31" t="n">
        <f aca="false">P10*OT_HRS</f>
        <v>260.5</v>
      </c>
      <c r="S10" s="31" t="n">
        <f aca="false">MAX(0,Q10*N10-R10)</f>
        <v>0</v>
      </c>
      <c r="T10" s="11" t="n">
        <f aca="false">IF(S10&gt;0,ROUNDUP(S10/N10,0),0)</f>
        <v>0</v>
      </c>
      <c r="U10" s="16" t="n">
        <f aca="false">L10*OUT_SHARE</f>
        <v>708</v>
      </c>
      <c r="V10" s="10" t="n">
        <f aca="false">IF(U10&gt;PROV_CAP,1,0)</f>
        <v>0</v>
      </c>
    </row>
    <row r="11" customFormat="false" ht="15" hidden="false" customHeight="false" outlineLevel="0" collapsed="false">
      <c r="A11" s="10" t="n">
        <v>1</v>
      </c>
      <c r="B11" s="8" t="s">
        <v>28</v>
      </c>
      <c r="C11" s="10" t="n">
        <v>10</v>
      </c>
      <c r="D11" s="12" t="n">
        <f aca="false">INDEX(Forecast!$B$2:$B$14,C11)</f>
        <v>46363</v>
      </c>
      <c r="E11" s="15" t="n">
        <f aca="false">INDEX(Forecast!$C$2:$C$14,C11)</f>
        <v>4319</v>
      </c>
      <c r="F11" s="15" t="n">
        <f aca="false">INDEX(Forecast!$F$2:$F$14,C11)</f>
        <v>2794</v>
      </c>
      <c r="G11" s="16" t="n">
        <f aca="false">IF(A11&gt;=2,CHANGE_CASES*INDEX(Assumptions!$C$22:$C$34,C11),0)</f>
        <v>0</v>
      </c>
      <c r="H11" s="10" t="n">
        <f aca="false">IF(AND(A11=3,INDEX(Assumptions!$D$22:$D$34,C11)=1),1,0)</f>
        <v>0</v>
      </c>
      <c r="I11" s="29" t="n">
        <f aca="false">1+H11*PEAK_UPLIFT</f>
        <v>1</v>
      </c>
      <c r="J11" s="30" t="n">
        <f aca="false">IF(H11=1,PEAK_SHRINK,SHRINK)</f>
        <v>0.3</v>
      </c>
      <c r="K11" s="16" t="n">
        <f aca="false">E11*I11</f>
        <v>4319</v>
      </c>
      <c r="L11" s="16" t="n">
        <f aca="false">(F11+G11)*I11</f>
        <v>2794</v>
      </c>
      <c r="M11" s="31" t="n">
        <f aca="false">K11*AHT_CALL/60+L11*(1-OUT_SHARE)*AHT_CASE/60</f>
        <v>1272.23333333333</v>
      </c>
      <c r="N11" s="29" t="n">
        <f aca="false">CONTRACT_HRS*(1-J11)*OCC</f>
        <v>22.3125</v>
      </c>
      <c r="O11" s="32" t="n">
        <f aca="false">M11/N11</f>
        <v>57.0188608776844</v>
      </c>
      <c r="P11" s="13" t="n">
        <f aca="false">INDEX(Assumptions!$F$22:$F$34,C11)</f>
        <v>65.125</v>
      </c>
      <c r="Q11" s="9" t="n">
        <f aca="false">MAX(0,O11-P11)</f>
        <v>0</v>
      </c>
      <c r="R11" s="31" t="n">
        <f aca="false">P11*OT_HRS</f>
        <v>260.5</v>
      </c>
      <c r="S11" s="31" t="n">
        <f aca="false">MAX(0,Q11*N11-R11)</f>
        <v>0</v>
      </c>
      <c r="T11" s="11" t="n">
        <f aca="false">IF(S11&gt;0,ROUNDUP(S11/N11,0),0)</f>
        <v>0</v>
      </c>
      <c r="U11" s="16" t="n">
        <f aca="false">L11*OUT_SHARE</f>
        <v>698.5</v>
      </c>
      <c r="V11" s="10" t="n">
        <f aca="false">IF(U11&gt;PROV_CAP,1,0)</f>
        <v>0</v>
      </c>
    </row>
    <row r="12" customFormat="false" ht="15" hidden="false" customHeight="false" outlineLevel="0" collapsed="false">
      <c r="A12" s="10" t="n">
        <v>1</v>
      </c>
      <c r="B12" s="8" t="s">
        <v>28</v>
      </c>
      <c r="C12" s="10" t="n">
        <v>11</v>
      </c>
      <c r="D12" s="12" t="n">
        <f aca="false">INDEX(Forecast!$B$2:$B$14,C12)</f>
        <v>46370</v>
      </c>
      <c r="E12" s="15" t="n">
        <f aca="false">INDEX(Forecast!$C$2:$C$14,C12)</f>
        <v>4540</v>
      </c>
      <c r="F12" s="15" t="n">
        <f aca="false">INDEX(Forecast!$F$2:$F$14,C12)</f>
        <v>2768</v>
      </c>
      <c r="G12" s="16" t="n">
        <f aca="false">IF(A12&gt;=2,CHANGE_CASES*INDEX(Assumptions!$C$22:$C$34,C12),0)</f>
        <v>0</v>
      </c>
      <c r="H12" s="10" t="n">
        <f aca="false">IF(AND(A12=3,INDEX(Assumptions!$D$22:$D$34,C12)=1),1,0)</f>
        <v>0</v>
      </c>
      <c r="I12" s="29" t="n">
        <f aca="false">1+H12*PEAK_UPLIFT</f>
        <v>1</v>
      </c>
      <c r="J12" s="30" t="n">
        <f aca="false">IF(H12=1,PEAK_SHRINK,SHRINK)</f>
        <v>0.3</v>
      </c>
      <c r="K12" s="16" t="n">
        <f aca="false">E12*I12</f>
        <v>4540</v>
      </c>
      <c r="L12" s="16" t="n">
        <f aca="false">(F12+G12)*I12</f>
        <v>2768</v>
      </c>
      <c r="M12" s="31" t="n">
        <f aca="false">K12*AHT_CALL/60+L12*(1-OUT_SHARE)*AHT_CASE/60</f>
        <v>1290.86666666667</v>
      </c>
      <c r="N12" s="29" t="n">
        <f aca="false">CONTRACT_HRS*(1-J12)*OCC</f>
        <v>22.3125</v>
      </c>
      <c r="O12" s="32" t="n">
        <f aca="false">M12/N12</f>
        <v>57.8539682539683</v>
      </c>
      <c r="P12" s="13" t="n">
        <f aca="false">INDEX(Assumptions!$F$22:$F$34,C12)</f>
        <v>65.125</v>
      </c>
      <c r="Q12" s="9" t="n">
        <f aca="false">MAX(0,O12-P12)</f>
        <v>0</v>
      </c>
      <c r="R12" s="31" t="n">
        <f aca="false">P12*OT_HRS</f>
        <v>260.5</v>
      </c>
      <c r="S12" s="31" t="n">
        <f aca="false">MAX(0,Q12*N12-R12)</f>
        <v>0</v>
      </c>
      <c r="T12" s="11" t="n">
        <f aca="false">IF(S12&gt;0,ROUNDUP(S12/N12,0),0)</f>
        <v>0</v>
      </c>
      <c r="U12" s="16" t="n">
        <f aca="false">L12*OUT_SHARE</f>
        <v>692</v>
      </c>
      <c r="V12" s="10" t="n">
        <f aca="false">IF(U12&gt;PROV_CAP,1,0)</f>
        <v>0</v>
      </c>
    </row>
    <row r="13" customFormat="false" ht="15" hidden="false" customHeight="false" outlineLevel="0" collapsed="false">
      <c r="A13" s="10" t="n">
        <v>1</v>
      </c>
      <c r="B13" s="8" t="s">
        <v>28</v>
      </c>
      <c r="C13" s="10" t="n">
        <v>12</v>
      </c>
      <c r="D13" s="12" t="n">
        <f aca="false">INDEX(Forecast!$B$2:$B$14,C13)</f>
        <v>46377</v>
      </c>
      <c r="E13" s="15" t="n">
        <f aca="false">INDEX(Forecast!$C$2:$C$14,C13)</f>
        <v>4335</v>
      </c>
      <c r="F13" s="15" t="n">
        <f aca="false">INDEX(Forecast!$F$2:$F$14,C13)</f>
        <v>2657</v>
      </c>
      <c r="G13" s="16" t="n">
        <f aca="false">IF(A13&gt;=2,CHANGE_CASES*INDEX(Assumptions!$C$22:$C$34,C13),0)</f>
        <v>0</v>
      </c>
      <c r="H13" s="10" t="n">
        <f aca="false">IF(AND(A13=3,INDEX(Assumptions!$D$22:$D$34,C13)=1),1,0)</f>
        <v>0</v>
      </c>
      <c r="I13" s="29" t="n">
        <f aca="false">1+H13*PEAK_UPLIFT</f>
        <v>1</v>
      </c>
      <c r="J13" s="30" t="n">
        <f aca="false">IF(H13=1,PEAK_SHRINK,SHRINK)</f>
        <v>0.3</v>
      </c>
      <c r="K13" s="16" t="n">
        <f aca="false">E13*I13</f>
        <v>4335</v>
      </c>
      <c r="L13" s="16" t="n">
        <f aca="false">(F13+G13)*I13</f>
        <v>2657</v>
      </c>
      <c r="M13" s="31" t="n">
        <f aca="false">K13*AHT_CALL/60+L13*(1-OUT_SHARE)*AHT_CASE/60</f>
        <v>1236.425</v>
      </c>
      <c r="N13" s="29" t="n">
        <f aca="false">CONTRACT_HRS*(1-J13)*OCC</f>
        <v>22.3125</v>
      </c>
      <c r="O13" s="32" t="n">
        <f aca="false">M13/N13</f>
        <v>55.4140056022409</v>
      </c>
      <c r="P13" s="13" t="n">
        <f aca="false">INDEX(Assumptions!$F$22:$F$34,C13)</f>
        <v>65.125</v>
      </c>
      <c r="Q13" s="9" t="n">
        <f aca="false">MAX(0,O13-P13)</f>
        <v>0</v>
      </c>
      <c r="R13" s="31" t="n">
        <f aca="false">P13*OT_HRS</f>
        <v>260.5</v>
      </c>
      <c r="S13" s="31" t="n">
        <f aca="false">MAX(0,Q13*N13-R13)</f>
        <v>0</v>
      </c>
      <c r="T13" s="11" t="n">
        <f aca="false">IF(S13&gt;0,ROUNDUP(S13/N13,0),0)</f>
        <v>0</v>
      </c>
      <c r="U13" s="16" t="n">
        <f aca="false">L13*OUT_SHARE</f>
        <v>664.25</v>
      </c>
      <c r="V13" s="10" t="n">
        <f aca="false">IF(U13&gt;PROV_CAP,1,0)</f>
        <v>0</v>
      </c>
    </row>
    <row r="14" customFormat="false" ht="15" hidden="false" customHeight="false" outlineLevel="0" collapsed="false">
      <c r="A14" s="10" t="n">
        <v>1</v>
      </c>
      <c r="B14" s="8" t="s">
        <v>28</v>
      </c>
      <c r="C14" s="10" t="n">
        <v>13</v>
      </c>
      <c r="D14" s="12" t="n">
        <f aca="false">INDEX(Forecast!$B$2:$B$14,C14)</f>
        <v>46384</v>
      </c>
      <c r="E14" s="15" t="n">
        <f aca="false">INDEX(Forecast!$C$2:$C$14,C14)</f>
        <v>3894</v>
      </c>
      <c r="F14" s="15" t="n">
        <f aca="false">INDEX(Forecast!$F$2:$F$14,C14)</f>
        <v>2360</v>
      </c>
      <c r="G14" s="16" t="n">
        <f aca="false">IF(A14&gt;=2,CHANGE_CASES*INDEX(Assumptions!$C$22:$C$34,C14),0)</f>
        <v>0</v>
      </c>
      <c r="H14" s="10" t="n">
        <f aca="false">IF(AND(A14=3,INDEX(Assumptions!$D$22:$D$34,C14)=1),1,0)</f>
        <v>0</v>
      </c>
      <c r="I14" s="29" t="n">
        <f aca="false">1+H14*PEAK_UPLIFT</f>
        <v>1</v>
      </c>
      <c r="J14" s="30" t="n">
        <f aca="false">IF(H14=1,PEAK_SHRINK,SHRINK)</f>
        <v>0.3</v>
      </c>
      <c r="K14" s="16" t="n">
        <f aca="false">E14*I14</f>
        <v>3894</v>
      </c>
      <c r="L14" s="16" t="n">
        <f aca="false">(F14+G14)*I14</f>
        <v>2360</v>
      </c>
      <c r="M14" s="31" t="n">
        <f aca="false">K14*AHT_CALL/60+L14*(1-OUT_SHARE)*AHT_CASE/60</f>
        <v>1103.3</v>
      </c>
      <c r="N14" s="29" t="n">
        <f aca="false">CONTRACT_HRS*(1-J14)*OCC</f>
        <v>22.3125</v>
      </c>
      <c r="O14" s="32" t="n">
        <f aca="false">M14/N14</f>
        <v>49.447619047619</v>
      </c>
      <c r="P14" s="13" t="n">
        <f aca="false">INDEX(Assumptions!$F$22:$F$34,C14)</f>
        <v>65.125</v>
      </c>
      <c r="Q14" s="9" t="n">
        <f aca="false">MAX(0,O14-P14)</f>
        <v>0</v>
      </c>
      <c r="R14" s="31" t="n">
        <f aca="false">P14*OT_HRS</f>
        <v>260.5</v>
      </c>
      <c r="S14" s="31" t="n">
        <f aca="false">MAX(0,Q14*N14-R14)</f>
        <v>0</v>
      </c>
      <c r="T14" s="11" t="n">
        <f aca="false">IF(S14&gt;0,ROUNDUP(S14/N14,0),0)</f>
        <v>0</v>
      </c>
      <c r="U14" s="16" t="n">
        <f aca="false">L14*OUT_SHARE</f>
        <v>590</v>
      </c>
      <c r="V14" s="10" t="n">
        <f aca="false">IF(U14&gt;PROV_CAP,1,0)</f>
        <v>0</v>
      </c>
    </row>
    <row r="15" customFormat="false" ht="15" hidden="false" customHeight="false" outlineLevel="0" collapsed="false">
      <c r="A15" s="10" t="n">
        <v>2</v>
      </c>
      <c r="B15" s="8" t="s">
        <v>29</v>
      </c>
      <c r="C15" s="10" t="n">
        <v>1</v>
      </c>
      <c r="D15" s="12" t="n">
        <f aca="false">INDEX(Forecast!$B$2:$B$14,C15)</f>
        <v>46300</v>
      </c>
      <c r="E15" s="15" t="n">
        <f aca="false">INDEX(Forecast!$C$2:$C$14,C15)</f>
        <v>4558</v>
      </c>
      <c r="F15" s="15" t="n">
        <f aca="false">INDEX(Forecast!$F$2:$F$14,C15)</f>
        <v>2855</v>
      </c>
      <c r="G15" s="16" t="n">
        <f aca="false">IF(A15&gt;=2,CHANGE_CASES*INDEX(Assumptions!$C$22:$C$34,C15),0)</f>
        <v>0</v>
      </c>
      <c r="H15" s="10" t="n">
        <f aca="false">IF(AND(A15=3,INDEX(Assumptions!$D$22:$D$34,C15)=1),1,0)</f>
        <v>0</v>
      </c>
      <c r="I15" s="29" t="n">
        <f aca="false">1+H15*PEAK_UPLIFT</f>
        <v>1</v>
      </c>
      <c r="J15" s="30" t="n">
        <f aca="false">IF(H15=1,PEAK_SHRINK,SHRINK)</f>
        <v>0.3</v>
      </c>
      <c r="K15" s="16" t="n">
        <f aca="false">E15*I15</f>
        <v>4558</v>
      </c>
      <c r="L15" s="16" t="n">
        <f aca="false">(F15+G15)*I15</f>
        <v>2855</v>
      </c>
      <c r="M15" s="31" t="n">
        <f aca="false">K15*AHT_CALL/60+L15*(1-OUT_SHARE)*AHT_CASE/60</f>
        <v>1316.89166666667</v>
      </c>
      <c r="N15" s="29" t="n">
        <f aca="false">CONTRACT_HRS*(1-J15)*OCC</f>
        <v>22.3125</v>
      </c>
      <c r="O15" s="32" t="n">
        <f aca="false">M15/N15</f>
        <v>59.0203548085901</v>
      </c>
      <c r="P15" s="13" t="n">
        <f aca="false">INDEX(Assumptions!$F$22:$F$34,C15)</f>
        <v>64.125</v>
      </c>
      <c r="Q15" s="9" t="n">
        <f aca="false">MAX(0,O15-P15)</f>
        <v>0</v>
      </c>
      <c r="R15" s="31" t="n">
        <f aca="false">P15*OT_HRS</f>
        <v>256.5</v>
      </c>
      <c r="S15" s="31" t="n">
        <f aca="false">MAX(0,Q15*N15-R15)</f>
        <v>0</v>
      </c>
      <c r="T15" s="11" t="n">
        <f aca="false">IF(S15&gt;0,ROUNDUP(S15/N15,0),0)</f>
        <v>0</v>
      </c>
      <c r="U15" s="16" t="n">
        <f aca="false">L15*OUT_SHARE</f>
        <v>713.75</v>
      </c>
      <c r="V15" s="10" t="n">
        <f aca="false">IF(U15&gt;PROV_CAP,1,0)</f>
        <v>0</v>
      </c>
    </row>
    <row r="16" customFormat="false" ht="15" hidden="false" customHeight="false" outlineLevel="0" collapsed="false">
      <c r="A16" s="10" t="n">
        <v>2</v>
      </c>
      <c r="B16" s="8" t="s">
        <v>29</v>
      </c>
      <c r="C16" s="10" t="n">
        <v>2</v>
      </c>
      <c r="D16" s="12" t="n">
        <f aca="false">INDEX(Forecast!$B$2:$B$14,C16)</f>
        <v>46307</v>
      </c>
      <c r="E16" s="15" t="n">
        <f aca="false">INDEX(Forecast!$C$2:$C$14,C16)</f>
        <v>4598</v>
      </c>
      <c r="F16" s="15" t="n">
        <f aca="false">INDEX(Forecast!$F$2:$F$14,C16)</f>
        <v>2920</v>
      </c>
      <c r="G16" s="16" t="n">
        <f aca="false">IF(A16&gt;=2,CHANGE_CASES*INDEX(Assumptions!$C$22:$C$34,C16),0)</f>
        <v>0</v>
      </c>
      <c r="H16" s="10" t="n">
        <f aca="false">IF(AND(A16=3,INDEX(Assumptions!$D$22:$D$34,C16)=1),1,0)</f>
        <v>0</v>
      </c>
      <c r="I16" s="29" t="n">
        <f aca="false">1+H16*PEAK_UPLIFT</f>
        <v>1</v>
      </c>
      <c r="J16" s="30" t="n">
        <f aca="false">IF(H16=1,PEAK_SHRINK,SHRINK)</f>
        <v>0.3</v>
      </c>
      <c r="K16" s="16" t="n">
        <f aca="false">E16*I16</f>
        <v>4598</v>
      </c>
      <c r="L16" s="16" t="n">
        <f aca="false">(F16+G16)*I16</f>
        <v>2920</v>
      </c>
      <c r="M16" s="31" t="n">
        <f aca="false">K16*AHT_CALL/60+L16*(1-OUT_SHARE)*AHT_CASE/60</f>
        <v>1339.43333333333</v>
      </c>
      <c r="N16" s="29" t="n">
        <f aca="false">CONTRACT_HRS*(1-J16)*OCC</f>
        <v>22.3125</v>
      </c>
      <c r="O16" s="32" t="n">
        <f aca="false">M16/N16</f>
        <v>60.0306255835668</v>
      </c>
      <c r="P16" s="13" t="n">
        <f aca="false">INDEX(Assumptions!$F$22:$F$34,C16)</f>
        <v>64.125</v>
      </c>
      <c r="Q16" s="9" t="n">
        <f aca="false">MAX(0,O16-P16)</f>
        <v>0</v>
      </c>
      <c r="R16" s="31" t="n">
        <f aca="false">P16*OT_HRS</f>
        <v>256.5</v>
      </c>
      <c r="S16" s="31" t="n">
        <f aca="false">MAX(0,Q16*N16-R16)</f>
        <v>0</v>
      </c>
      <c r="T16" s="11" t="n">
        <f aca="false">IF(S16&gt;0,ROUNDUP(S16/N16,0),0)</f>
        <v>0</v>
      </c>
      <c r="U16" s="16" t="n">
        <f aca="false">L16*OUT_SHARE</f>
        <v>730</v>
      </c>
      <c r="V16" s="10" t="n">
        <f aca="false">IF(U16&gt;PROV_CAP,1,0)</f>
        <v>0</v>
      </c>
    </row>
    <row r="17" customFormat="false" ht="15" hidden="false" customHeight="false" outlineLevel="0" collapsed="false">
      <c r="A17" s="10" t="n">
        <v>2</v>
      </c>
      <c r="B17" s="8" t="s">
        <v>29</v>
      </c>
      <c r="C17" s="10" t="n">
        <v>3</v>
      </c>
      <c r="D17" s="12" t="n">
        <f aca="false">INDEX(Forecast!$B$2:$B$14,C17)</f>
        <v>46314</v>
      </c>
      <c r="E17" s="15" t="n">
        <f aca="false">INDEX(Forecast!$C$2:$C$14,C17)</f>
        <v>4737</v>
      </c>
      <c r="F17" s="15" t="n">
        <f aca="false">INDEX(Forecast!$F$2:$F$14,C17)</f>
        <v>2993</v>
      </c>
      <c r="G17" s="16" t="n">
        <f aca="false">IF(A17&gt;=2,CHANGE_CASES*INDEX(Assumptions!$C$22:$C$34,C17),0)</f>
        <v>0</v>
      </c>
      <c r="H17" s="10" t="n">
        <f aca="false">IF(AND(A17=3,INDEX(Assumptions!$D$22:$D$34,C17)=1),1,0)</f>
        <v>0</v>
      </c>
      <c r="I17" s="29" t="n">
        <f aca="false">1+H17*PEAK_UPLIFT</f>
        <v>1</v>
      </c>
      <c r="J17" s="30" t="n">
        <f aca="false">IF(H17=1,PEAK_SHRINK,SHRINK)</f>
        <v>0.3</v>
      </c>
      <c r="K17" s="16" t="n">
        <f aca="false">E17*I17</f>
        <v>4737</v>
      </c>
      <c r="L17" s="16" t="n">
        <f aca="false">(F17+G17)*I17</f>
        <v>2993</v>
      </c>
      <c r="M17" s="31" t="n">
        <f aca="false">K17*AHT_CALL/60+L17*(1-OUT_SHARE)*AHT_CASE/60</f>
        <v>1375.725</v>
      </c>
      <c r="N17" s="29" t="n">
        <f aca="false">CONTRACT_HRS*(1-J17)*OCC</f>
        <v>22.3125</v>
      </c>
      <c r="O17" s="32" t="n">
        <f aca="false">M17/N17</f>
        <v>61.6571428571429</v>
      </c>
      <c r="P17" s="13" t="n">
        <f aca="false">INDEX(Assumptions!$F$22:$F$34,C17)</f>
        <v>64.125</v>
      </c>
      <c r="Q17" s="9" t="n">
        <f aca="false">MAX(0,O17-P17)</f>
        <v>0</v>
      </c>
      <c r="R17" s="31" t="n">
        <f aca="false">P17*OT_HRS</f>
        <v>256.5</v>
      </c>
      <c r="S17" s="31" t="n">
        <f aca="false">MAX(0,Q17*N17-R17)</f>
        <v>0</v>
      </c>
      <c r="T17" s="11" t="n">
        <f aca="false">IF(S17&gt;0,ROUNDUP(S17/N17,0),0)</f>
        <v>0</v>
      </c>
      <c r="U17" s="16" t="n">
        <f aca="false">L17*OUT_SHARE</f>
        <v>748.25</v>
      </c>
      <c r="V17" s="10" t="n">
        <f aca="false">IF(U17&gt;PROV_CAP,1,0)</f>
        <v>0</v>
      </c>
    </row>
    <row r="18" customFormat="false" ht="15" hidden="false" customHeight="false" outlineLevel="0" collapsed="false">
      <c r="A18" s="10" t="n">
        <v>2</v>
      </c>
      <c r="B18" s="8" t="s">
        <v>29</v>
      </c>
      <c r="C18" s="10" t="n">
        <v>4</v>
      </c>
      <c r="D18" s="12" t="n">
        <f aca="false">INDEX(Forecast!$B$2:$B$14,C18)</f>
        <v>46321</v>
      </c>
      <c r="E18" s="15" t="n">
        <f aca="false">INDEX(Forecast!$C$2:$C$14,C18)</f>
        <v>4893</v>
      </c>
      <c r="F18" s="15" t="n">
        <f aca="false">INDEX(Forecast!$F$2:$F$14,C18)</f>
        <v>2887</v>
      </c>
      <c r="G18" s="16" t="n">
        <f aca="false">IF(A18&gt;=2,CHANGE_CASES*INDEX(Assumptions!$C$22:$C$34,C18),0)</f>
        <v>140</v>
      </c>
      <c r="H18" s="10" t="n">
        <f aca="false">IF(AND(A18=3,INDEX(Assumptions!$D$22:$D$34,C18)=1),1,0)</f>
        <v>0</v>
      </c>
      <c r="I18" s="29" t="n">
        <f aca="false">1+H18*PEAK_UPLIFT</f>
        <v>1</v>
      </c>
      <c r="J18" s="30" t="n">
        <f aca="false">IF(H18=1,PEAK_SHRINK,SHRINK)</f>
        <v>0.3</v>
      </c>
      <c r="K18" s="16" t="n">
        <f aca="false">E18*I18</f>
        <v>4893</v>
      </c>
      <c r="L18" s="16" t="n">
        <f aca="false">(F18+G18)*I18</f>
        <v>3027</v>
      </c>
      <c r="M18" s="31" t="n">
        <f aca="false">K18*AHT_CALL/60+L18*(1-OUT_SHARE)*AHT_CASE/60</f>
        <v>1403.275</v>
      </c>
      <c r="N18" s="29" t="n">
        <f aca="false">CONTRACT_HRS*(1-J18)*OCC</f>
        <v>22.3125</v>
      </c>
      <c r="O18" s="32" t="n">
        <f aca="false">M18/N18</f>
        <v>62.8918767507003</v>
      </c>
      <c r="P18" s="13" t="n">
        <f aca="false">INDEX(Assumptions!$F$22:$F$34,C18)</f>
        <v>64.125</v>
      </c>
      <c r="Q18" s="9" t="n">
        <f aca="false">MAX(0,O18-P18)</f>
        <v>0</v>
      </c>
      <c r="R18" s="31" t="n">
        <f aca="false">P18*OT_HRS</f>
        <v>256.5</v>
      </c>
      <c r="S18" s="31" t="n">
        <f aca="false">MAX(0,Q18*N18-R18)</f>
        <v>0</v>
      </c>
      <c r="T18" s="11" t="n">
        <f aca="false">IF(S18&gt;0,ROUNDUP(S18/N18,0),0)</f>
        <v>0</v>
      </c>
      <c r="U18" s="16" t="n">
        <f aca="false">L18*OUT_SHARE</f>
        <v>756.75</v>
      </c>
      <c r="V18" s="10" t="n">
        <f aca="false">IF(U18&gt;PROV_CAP,1,0)</f>
        <v>0</v>
      </c>
    </row>
    <row r="19" customFormat="false" ht="15" hidden="false" customHeight="false" outlineLevel="0" collapsed="false">
      <c r="A19" s="10" t="n">
        <v>2</v>
      </c>
      <c r="B19" s="8" t="s">
        <v>29</v>
      </c>
      <c r="C19" s="10" t="n">
        <v>5</v>
      </c>
      <c r="D19" s="12" t="n">
        <f aca="false">INDEX(Forecast!$B$2:$B$14,C19)</f>
        <v>46328</v>
      </c>
      <c r="E19" s="15" t="n">
        <f aca="false">INDEX(Forecast!$C$2:$C$14,C19)</f>
        <v>4669</v>
      </c>
      <c r="F19" s="15" t="n">
        <f aca="false">INDEX(Forecast!$F$2:$F$14,C19)</f>
        <v>2919</v>
      </c>
      <c r="G19" s="16" t="n">
        <f aca="false">IF(A19&gt;=2,CHANGE_CASES*INDEX(Assumptions!$C$22:$C$34,C19),0)</f>
        <v>280</v>
      </c>
      <c r="H19" s="10" t="n">
        <f aca="false">IF(AND(A19=3,INDEX(Assumptions!$D$22:$D$34,C19)=1),1,0)</f>
        <v>0</v>
      </c>
      <c r="I19" s="29" t="n">
        <f aca="false">1+H19*PEAK_UPLIFT</f>
        <v>1</v>
      </c>
      <c r="J19" s="30" t="n">
        <f aca="false">IF(H19=1,PEAK_SHRINK,SHRINK)</f>
        <v>0.3</v>
      </c>
      <c r="K19" s="16" t="n">
        <f aca="false">E19*I19</f>
        <v>4669</v>
      </c>
      <c r="L19" s="16" t="n">
        <f aca="false">(F19+G19)*I19</f>
        <v>3199</v>
      </c>
      <c r="M19" s="31" t="n">
        <f aca="false">K19*AHT_CALL/60+L19*(1-OUT_SHARE)*AHT_CASE/60</f>
        <v>1424.44166666667</v>
      </c>
      <c r="N19" s="29" t="n">
        <f aca="false">CONTRACT_HRS*(1-J19)*OCC</f>
        <v>22.3125</v>
      </c>
      <c r="O19" s="32" t="n">
        <f aca="false">M19/N19</f>
        <v>63.840522875817</v>
      </c>
      <c r="P19" s="13" t="n">
        <f aca="false">INDEX(Assumptions!$F$22:$F$34,C19)</f>
        <v>62.125</v>
      </c>
      <c r="Q19" s="9" t="n">
        <f aca="false">MAX(0,O19-P19)</f>
        <v>1.71552287581699</v>
      </c>
      <c r="R19" s="31" t="n">
        <f aca="false">P19*OT_HRS</f>
        <v>248.5</v>
      </c>
      <c r="S19" s="31" t="n">
        <f aca="false">MAX(0,Q19*N19-R19)</f>
        <v>0</v>
      </c>
      <c r="T19" s="11" t="n">
        <f aca="false">IF(S19&gt;0,ROUNDUP(S19/N19,0),0)</f>
        <v>0</v>
      </c>
      <c r="U19" s="16" t="n">
        <f aca="false">L19*OUT_SHARE</f>
        <v>799.75</v>
      </c>
      <c r="V19" s="10" t="n">
        <f aca="false">IF(U19&gt;PROV_CAP,1,0)</f>
        <v>0</v>
      </c>
    </row>
    <row r="20" customFormat="false" ht="15" hidden="false" customHeight="false" outlineLevel="0" collapsed="false">
      <c r="A20" s="10" t="n">
        <v>2</v>
      </c>
      <c r="B20" s="8" t="s">
        <v>29</v>
      </c>
      <c r="C20" s="10" t="n">
        <v>6</v>
      </c>
      <c r="D20" s="12" t="n">
        <f aca="false">INDEX(Forecast!$B$2:$B$14,C20)</f>
        <v>46335</v>
      </c>
      <c r="E20" s="15" t="n">
        <f aca="false">INDEX(Forecast!$C$2:$C$14,C20)</f>
        <v>4653</v>
      </c>
      <c r="F20" s="15" t="n">
        <f aca="false">INDEX(Forecast!$F$2:$F$14,C20)</f>
        <v>2934</v>
      </c>
      <c r="G20" s="16" t="n">
        <f aca="false">IF(A20&gt;=2,CHANGE_CASES*INDEX(Assumptions!$C$22:$C$34,C20),0)</f>
        <v>350</v>
      </c>
      <c r="H20" s="10" t="n">
        <f aca="false">IF(AND(A20=3,INDEX(Assumptions!$D$22:$D$34,C20)=1),1,0)</f>
        <v>0</v>
      </c>
      <c r="I20" s="29" t="n">
        <f aca="false">1+H20*PEAK_UPLIFT</f>
        <v>1</v>
      </c>
      <c r="J20" s="30" t="n">
        <f aca="false">IF(H20=1,PEAK_SHRINK,SHRINK)</f>
        <v>0.3</v>
      </c>
      <c r="K20" s="16" t="n">
        <f aca="false">E20*I20</f>
        <v>4653</v>
      </c>
      <c r="L20" s="16" t="n">
        <f aca="false">(F20+G20)*I20</f>
        <v>3284</v>
      </c>
      <c r="M20" s="31" t="n">
        <f aca="false">K20*AHT_CALL/60+L20*(1-OUT_SHARE)*AHT_CASE/60</f>
        <v>1445.95</v>
      </c>
      <c r="N20" s="29" t="n">
        <f aca="false">CONTRACT_HRS*(1-J20)*OCC</f>
        <v>22.3125</v>
      </c>
      <c r="O20" s="32" t="n">
        <f aca="false">M20/N20</f>
        <v>64.8044817927171</v>
      </c>
      <c r="P20" s="13" t="n">
        <f aca="false">INDEX(Assumptions!$F$22:$F$34,C20)</f>
        <v>62.125</v>
      </c>
      <c r="Q20" s="9" t="n">
        <f aca="false">MAX(0,O20-P20)</f>
        <v>2.67948179271708</v>
      </c>
      <c r="R20" s="31" t="n">
        <f aca="false">P20*OT_HRS</f>
        <v>248.5</v>
      </c>
      <c r="S20" s="31" t="n">
        <f aca="false">MAX(0,Q20*N20-R20)</f>
        <v>0</v>
      </c>
      <c r="T20" s="11" t="n">
        <f aca="false">IF(S20&gt;0,ROUNDUP(S20/N20,0),0)</f>
        <v>0</v>
      </c>
      <c r="U20" s="16" t="n">
        <f aca="false">L20*OUT_SHARE</f>
        <v>821</v>
      </c>
      <c r="V20" s="10" t="n">
        <f aca="false">IF(U20&gt;PROV_CAP,1,0)</f>
        <v>1</v>
      </c>
    </row>
    <row r="21" customFormat="false" ht="15" hidden="false" customHeight="false" outlineLevel="0" collapsed="false">
      <c r="A21" s="10" t="n">
        <v>2</v>
      </c>
      <c r="B21" s="8" t="s">
        <v>29</v>
      </c>
      <c r="C21" s="10" t="n">
        <v>7</v>
      </c>
      <c r="D21" s="12" t="n">
        <f aca="false">INDEX(Forecast!$B$2:$B$14,C21)</f>
        <v>46342</v>
      </c>
      <c r="E21" s="15" t="n">
        <f aca="false">INDEX(Forecast!$C$2:$C$14,C21)</f>
        <v>4727</v>
      </c>
      <c r="F21" s="15" t="n">
        <f aca="false">INDEX(Forecast!$F$2:$F$14,C21)</f>
        <v>3031</v>
      </c>
      <c r="G21" s="16" t="n">
        <f aca="false">IF(A21&gt;=2,CHANGE_CASES*INDEX(Assumptions!$C$22:$C$34,C21),0)</f>
        <v>350</v>
      </c>
      <c r="H21" s="10" t="n">
        <f aca="false">IF(AND(A21=3,INDEX(Assumptions!$D$22:$D$34,C21)=1),1,0)</f>
        <v>0</v>
      </c>
      <c r="I21" s="29" t="n">
        <f aca="false">1+H21*PEAK_UPLIFT</f>
        <v>1</v>
      </c>
      <c r="J21" s="30" t="n">
        <f aca="false">IF(H21=1,PEAK_SHRINK,SHRINK)</f>
        <v>0.3</v>
      </c>
      <c r="K21" s="16" t="n">
        <f aca="false">E21*I21</f>
        <v>4727</v>
      </c>
      <c r="L21" s="16" t="n">
        <f aca="false">(F21+G21)*I21</f>
        <v>3381</v>
      </c>
      <c r="M21" s="31" t="n">
        <f aca="false">K21*AHT_CALL/60+L21*(1-OUT_SHARE)*AHT_CASE/60</f>
        <v>1481.25833333333</v>
      </c>
      <c r="N21" s="29" t="n">
        <f aca="false">CONTRACT_HRS*(1-J21)*OCC</f>
        <v>22.3125</v>
      </c>
      <c r="O21" s="32" t="n">
        <f aca="false">M21/N21</f>
        <v>66.3869281045752</v>
      </c>
      <c r="P21" s="13" t="n">
        <f aca="false">INDEX(Assumptions!$F$22:$F$34,C21)</f>
        <v>62.125</v>
      </c>
      <c r="Q21" s="9" t="n">
        <f aca="false">MAX(0,O21-P21)</f>
        <v>4.26192810457516</v>
      </c>
      <c r="R21" s="31" t="n">
        <f aca="false">P21*OT_HRS</f>
        <v>248.5</v>
      </c>
      <c r="S21" s="31" t="n">
        <f aca="false">MAX(0,Q21*N21-R21)</f>
        <v>0</v>
      </c>
      <c r="T21" s="11" t="n">
        <f aca="false">IF(S21&gt;0,ROUNDUP(S21/N21,0),0)</f>
        <v>0</v>
      </c>
      <c r="U21" s="16" t="n">
        <f aca="false">L21*OUT_SHARE</f>
        <v>845.25</v>
      </c>
      <c r="V21" s="10" t="n">
        <f aca="false">IF(U21&gt;PROV_CAP,1,0)</f>
        <v>1</v>
      </c>
    </row>
    <row r="22" customFormat="false" ht="15" hidden="false" customHeight="false" outlineLevel="0" collapsed="false">
      <c r="A22" s="10" t="n">
        <v>2</v>
      </c>
      <c r="B22" s="8" t="s">
        <v>29</v>
      </c>
      <c r="C22" s="10" t="n">
        <v>8</v>
      </c>
      <c r="D22" s="12" t="n">
        <f aca="false">INDEX(Forecast!$B$2:$B$14,C22)</f>
        <v>46349</v>
      </c>
      <c r="E22" s="15" t="n">
        <f aca="false">INDEX(Forecast!$C$2:$C$14,C22)</f>
        <v>5094</v>
      </c>
      <c r="F22" s="15" t="n">
        <f aca="false">INDEX(Forecast!$F$2:$F$14,C22)</f>
        <v>3148</v>
      </c>
      <c r="G22" s="16" t="n">
        <f aca="false">IF(A22&gt;=2,CHANGE_CASES*INDEX(Assumptions!$C$22:$C$34,C22),0)</f>
        <v>245</v>
      </c>
      <c r="H22" s="10" t="n">
        <f aca="false">IF(AND(A22=3,INDEX(Assumptions!$D$22:$D$34,C22)=1),1,0)</f>
        <v>0</v>
      </c>
      <c r="I22" s="29" t="n">
        <f aca="false">1+H22*PEAK_UPLIFT</f>
        <v>1</v>
      </c>
      <c r="J22" s="30" t="n">
        <f aca="false">IF(H22=1,PEAK_SHRINK,SHRINK)</f>
        <v>0.3</v>
      </c>
      <c r="K22" s="16" t="n">
        <f aca="false">E22*I22</f>
        <v>5094</v>
      </c>
      <c r="L22" s="16" t="n">
        <f aca="false">(F22+G22)*I22</f>
        <v>3393</v>
      </c>
      <c r="M22" s="31" t="n">
        <f aca="false">K22*AHT_CALL/60+L22*(1-OUT_SHARE)*AHT_CASE/60</f>
        <v>1527.375</v>
      </c>
      <c r="N22" s="29" t="n">
        <f aca="false">CONTRACT_HRS*(1-J22)*OCC</f>
        <v>22.3125</v>
      </c>
      <c r="O22" s="32" t="n">
        <f aca="false">M22/N22</f>
        <v>68.4537815126051</v>
      </c>
      <c r="P22" s="13" t="n">
        <f aca="false">INDEX(Assumptions!$F$22:$F$34,C22)</f>
        <v>62.125</v>
      </c>
      <c r="Q22" s="9" t="n">
        <f aca="false">MAX(0,O22-P22)</f>
        <v>6.32878151260505</v>
      </c>
      <c r="R22" s="31" t="n">
        <f aca="false">P22*OT_HRS</f>
        <v>248.5</v>
      </c>
      <c r="S22" s="31" t="n">
        <f aca="false">MAX(0,Q22*N22-R22)</f>
        <v>0</v>
      </c>
      <c r="T22" s="11" t="n">
        <f aca="false">IF(S22&gt;0,ROUNDUP(S22/N22,0),0)</f>
        <v>0</v>
      </c>
      <c r="U22" s="16" t="n">
        <f aca="false">L22*OUT_SHARE</f>
        <v>848.25</v>
      </c>
      <c r="V22" s="10" t="n">
        <f aca="false">IF(U22&gt;PROV_CAP,1,0)</f>
        <v>1</v>
      </c>
    </row>
    <row r="23" customFormat="false" ht="15" hidden="false" customHeight="false" outlineLevel="0" collapsed="false">
      <c r="A23" s="10" t="n">
        <v>2</v>
      </c>
      <c r="B23" s="8" t="s">
        <v>29</v>
      </c>
      <c r="C23" s="10" t="n">
        <v>9</v>
      </c>
      <c r="D23" s="12" t="n">
        <f aca="false">INDEX(Forecast!$B$2:$B$14,C23)</f>
        <v>46356</v>
      </c>
      <c r="E23" s="15" t="n">
        <f aca="false">INDEX(Forecast!$C$2:$C$14,C23)</f>
        <v>4338</v>
      </c>
      <c r="F23" s="15" t="n">
        <f aca="false">INDEX(Forecast!$F$2:$F$14,C23)</f>
        <v>2832</v>
      </c>
      <c r="G23" s="16" t="n">
        <f aca="false">IF(A23&gt;=2,CHANGE_CASES*INDEX(Assumptions!$C$22:$C$34,C23),0)</f>
        <v>105</v>
      </c>
      <c r="H23" s="10" t="n">
        <f aca="false">IF(AND(A23=3,INDEX(Assumptions!$D$22:$D$34,C23)=1),1,0)</f>
        <v>0</v>
      </c>
      <c r="I23" s="29" t="n">
        <f aca="false">1+H23*PEAK_UPLIFT</f>
        <v>1</v>
      </c>
      <c r="J23" s="30" t="n">
        <f aca="false">IF(H23=1,PEAK_SHRINK,SHRINK)</f>
        <v>0.3</v>
      </c>
      <c r="K23" s="16" t="n">
        <f aca="false">E23*I23</f>
        <v>4338</v>
      </c>
      <c r="L23" s="16" t="n">
        <f aca="false">(F23+G23)*I23</f>
        <v>2937</v>
      </c>
      <c r="M23" s="31" t="n">
        <f aca="false">K23*AHT_CALL/60+L23*(1-OUT_SHARE)*AHT_CASE/60</f>
        <v>1313.775</v>
      </c>
      <c r="N23" s="29" t="n">
        <f aca="false">CONTRACT_HRS*(1-J23)*OCC</f>
        <v>22.3125</v>
      </c>
      <c r="O23" s="32" t="n">
        <f aca="false">M23/N23</f>
        <v>58.8806722689076</v>
      </c>
      <c r="P23" s="13" t="n">
        <f aca="false">INDEX(Assumptions!$F$22:$F$34,C23)</f>
        <v>65.125</v>
      </c>
      <c r="Q23" s="9" t="n">
        <f aca="false">MAX(0,O23-P23)</f>
        <v>0</v>
      </c>
      <c r="R23" s="31" t="n">
        <f aca="false">P23*OT_HRS</f>
        <v>260.5</v>
      </c>
      <c r="S23" s="31" t="n">
        <f aca="false">MAX(0,Q23*N23-R23)</f>
        <v>0</v>
      </c>
      <c r="T23" s="11" t="n">
        <f aca="false">IF(S23&gt;0,ROUNDUP(S23/N23,0),0)</f>
        <v>0</v>
      </c>
      <c r="U23" s="16" t="n">
        <f aca="false">L23*OUT_SHARE</f>
        <v>734.25</v>
      </c>
      <c r="V23" s="10" t="n">
        <f aca="false">IF(U23&gt;PROV_CAP,1,0)</f>
        <v>0</v>
      </c>
    </row>
    <row r="24" customFormat="false" ht="15" hidden="false" customHeight="false" outlineLevel="0" collapsed="false">
      <c r="A24" s="10" t="n">
        <v>2</v>
      </c>
      <c r="B24" s="8" t="s">
        <v>29</v>
      </c>
      <c r="C24" s="10" t="n">
        <v>10</v>
      </c>
      <c r="D24" s="12" t="n">
        <f aca="false">INDEX(Forecast!$B$2:$B$14,C24)</f>
        <v>46363</v>
      </c>
      <c r="E24" s="15" t="n">
        <f aca="false">INDEX(Forecast!$C$2:$C$14,C24)</f>
        <v>4319</v>
      </c>
      <c r="F24" s="15" t="n">
        <f aca="false">INDEX(Forecast!$F$2:$F$14,C24)</f>
        <v>2794</v>
      </c>
      <c r="G24" s="16" t="n">
        <f aca="false">IF(A24&gt;=2,CHANGE_CASES*INDEX(Assumptions!$C$22:$C$34,C24),0)</f>
        <v>0</v>
      </c>
      <c r="H24" s="10" t="n">
        <f aca="false">IF(AND(A24=3,INDEX(Assumptions!$D$22:$D$34,C24)=1),1,0)</f>
        <v>0</v>
      </c>
      <c r="I24" s="29" t="n">
        <f aca="false">1+H24*PEAK_UPLIFT</f>
        <v>1</v>
      </c>
      <c r="J24" s="30" t="n">
        <f aca="false">IF(H24=1,PEAK_SHRINK,SHRINK)</f>
        <v>0.3</v>
      </c>
      <c r="K24" s="16" t="n">
        <f aca="false">E24*I24</f>
        <v>4319</v>
      </c>
      <c r="L24" s="16" t="n">
        <f aca="false">(F24+G24)*I24</f>
        <v>2794</v>
      </c>
      <c r="M24" s="31" t="n">
        <f aca="false">K24*AHT_CALL/60+L24*(1-OUT_SHARE)*AHT_CASE/60</f>
        <v>1272.23333333333</v>
      </c>
      <c r="N24" s="29" t="n">
        <f aca="false">CONTRACT_HRS*(1-J24)*OCC</f>
        <v>22.3125</v>
      </c>
      <c r="O24" s="32" t="n">
        <f aca="false">M24/N24</f>
        <v>57.0188608776844</v>
      </c>
      <c r="P24" s="13" t="n">
        <f aca="false">INDEX(Assumptions!$F$22:$F$34,C24)</f>
        <v>65.125</v>
      </c>
      <c r="Q24" s="9" t="n">
        <f aca="false">MAX(0,O24-P24)</f>
        <v>0</v>
      </c>
      <c r="R24" s="31" t="n">
        <f aca="false">P24*OT_HRS</f>
        <v>260.5</v>
      </c>
      <c r="S24" s="31" t="n">
        <f aca="false">MAX(0,Q24*N24-R24)</f>
        <v>0</v>
      </c>
      <c r="T24" s="11" t="n">
        <f aca="false">IF(S24&gt;0,ROUNDUP(S24/N24,0),0)</f>
        <v>0</v>
      </c>
      <c r="U24" s="16" t="n">
        <f aca="false">L24*OUT_SHARE</f>
        <v>698.5</v>
      </c>
      <c r="V24" s="10" t="n">
        <f aca="false">IF(U24&gt;PROV_CAP,1,0)</f>
        <v>0</v>
      </c>
    </row>
    <row r="25" customFormat="false" ht="15" hidden="false" customHeight="false" outlineLevel="0" collapsed="false">
      <c r="A25" s="10" t="n">
        <v>2</v>
      </c>
      <c r="B25" s="8" t="s">
        <v>29</v>
      </c>
      <c r="C25" s="10" t="n">
        <v>11</v>
      </c>
      <c r="D25" s="12" t="n">
        <f aca="false">INDEX(Forecast!$B$2:$B$14,C25)</f>
        <v>46370</v>
      </c>
      <c r="E25" s="15" t="n">
        <f aca="false">INDEX(Forecast!$C$2:$C$14,C25)</f>
        <v>4540</v>
      </c>
      <c r="F25" s="15" t="n">
        <f aca="false">INDEX(Forecast!$F$2:$F$14,C25)</f>
        <v>2768</v>
      </c>
      <c r="G25" s="16" t="n">
        <f aca="false">IF(A25&gt;=2,CHANGE_CASES*INDEX(Assumptions!$C$22:$C$34,C25),0)</f>
        <v>0</v>
      </c>
      <c r="H25" s="10" t="n">
        <f aca="false">IF(AND(A25=3,INDEX(Assumptions!$D$22:$D$34,C25)=1),1,0)</f>
        <v>0</v>
      </c>
      <c r="I25" s="29" t="n">
        <f aca="false">1+H25*PEAK_UPLIFT</f>
        <v>1</v>
      </c>
      <c r="J25" s="30" t="n">
        <f aca="false">IF(H25=1,PEAK_SHRINK,SHRINK)</f>
        <v>0.3</v>
      </c>
      <c r="K25" s="16" t="n">
        <f aca="false">E25*I25</f>
        <v>4540</v>
      </c>
      <c r="L25" s="16" t="n">
        <f aca="false">(F25+G25)*I25</f>
        <v>2768</v>
      </c>
      <c r="M25" s="31" t="n">
        <f aca="false">K25*AHT_CALL/60+L25*(1-OUT_SHARE)*AHT_CASE/60</f>
        <v>1290.86666666667</v>
      </c>
      <c r="N25" s="29" t="n">
        <f aca="false">CONTRACT_HRS*(1-J25)*OCC</f>
        <v>22.3125</v>
      </c>
      <c r="O25" s="32" t="n">
        <f aca="false">M25/N25</f>
        <v>57.8539682539683</v>
      </c>
      <c r="P25" s="13" t="n">
        <f aca="false">INDEX(Assumptions!$F$22:$F$34,C25)</f>
        <v>65.125</v>
      </c>
      <c r="Q25" s="9" t="n">
        <f aca="false">MAX(0,O25-P25)</f>
        <v>0</v>
      </c>
      <c r="R25" s="31" t="n">
        <f aca="false">P25*OT_HRS</f>
        <v>260.5</v>
      </c>
      <c r="S25" s="31" t="n">
        <f aca="false">MAX(0,Q25*N25-R25)</f>
        <v>0</v>
      </c>
      <c r="T25" s="11" t="n">
        <f aca="false">IF(S25&gt;0,ROUNDUP(S25/N25,0),0)</f>
        <v>0</v>
      </c>
      <c r="U25" s="16" t="n">
        <f aca="false">L25*OUT_SHARE</f>
        <v>692</v>
      </c>
      <c r="V25" s="10" t="n">
        <f aca="false">IF(U25&gt;PROV_CAP,1,0)</f>
        <v>0</v>
      </c>
    </row>
    <row r="26" customFormat="false" ht="15" hidden="false" customHeight="false" outlineLevel="0" collapsed="false">
      <c r="A26" s="10" t="n">
        <v>2</v>
      </c>
      <c r="B26" s="8" t="s">
        <v>29</v>
      </c>
      <c r="C26" s="10" t="n">
        <v>12</v>
      </c>
      <c r="D26" s="12" t="n">
        <f aca="false">INDEX(Forecast!$B$2:$B$14,C26)</f>
        <v>46377</v>
      </c>
      <c r="E26" s="15" t="n">
        <f aca="false">INDEX(Forecast!$C$2:$C$14,C26)</f>
        <v>4335</v>
      </c>
      <c r="F26" s="15" t="n">
        <f aca="false">INDEX(Forecast!$F$2:$F$14,C26)</f>
        <v>2657</v>
      </c>
      <c r="G26" s="16" t="n">
        <f aca="false">IF(A26&gt;=2,CHANGE_CASES*INDEX(Assumptions!$C$22:$C$34,C26),0)</f>
        <v>0</v>
      </c>
      <c r="H26" s="10" t="n">
        <f aca="false">IF(AND(A26=3,INDEX(Assumptions!$D$22:$D$34,C26)=1),1,0)</f>
        <v>0</v>
      </c>
      <c r="I26" s="29" t="n">
        <f aca="false">1+H26*PEAK_UPLIFT</f>
        <v>1</v>
      </c>
      <c r="J26" s="30" t="n">
        <f aca="false">IF(H26=1,PEAK_SHRINK,SHRINK)</f>
        <v>0.3</v>
      </c>
      <c r="K26" s="16" t="n">
        <f aca="false">E26*I26</f>
        <v>4335</v>
      </c>
      <c r="L26" s="16" t="n">
        <f aca="false">(F26+G26)*I26</f>
        <v>2657</v>
      </c>
      <c r="M26" s="31" t="n">
        <f aca="false">K26*AHT_CALL/60+L26*(1-OUT_SHARE)*AHT_CASE/60</f>
        <v>1236.425</v>
      </c>
      <c r="N26" s="29" t="n">
        <f aca="false">CONTRACT_HRS*(1-J26)*OCC</f>
        <v>22.3125</v>
      </c>
      <c r="O26" s="32" t="n">
        <f aca="false">M26/N26</f>
        <v>55.4140056022409</v>
      </c>
      <c r="P26" s="13" t="n">
        <f aca="false">INDEX(Assumptions!$F$22:$F$34,C26)</f>
        <v>65.125</v>
      </c>
      <c r="Q26" s="9" t="n">
        <f aca="false">MAX(0,O26-P26)</f>
        <v>0</v>
      </c>
      <c r="R26" s="31" t="n">
        <f aca="false">P26*OT_HRS</f>
        <v>260.5</v>
      </c>
      <c r="S26" s="31" t="n">
        <f aca="false">MAX(0,Q26*N26-R26)</f>
        <v>0</v>
      </c>
      <c r="T26" s="11" t="n">
        <f aca="false">IF(S26&gt;0,ROUNDUP(S26/N26,0),0)</f>
        <v>0</v>
      </c>
      <c r="U26" s="16" t="n">
        <f aca="false">L26*OUT_SHARE</f>
        <v>664.25</v>
      </c>
      <c r="V26" s="10" t="n">
        <f aca="false">IF(U26&gt;PROV_CAP,1,0)</f>
        <v>0</v>
      </c>
    </row>
    <row r="27" customFormat="false" ht="15" hidden="false" customHeight="false" outlineLevel="0" collapsed="false">
      <c r="A27" s="10" t="n">
        <v>2</v>
      </c>
      <c r="B27" s="8" t="s">
        <v>29</v>
      </c>
      <c r="C27" s="10" t="n">
        <v>13</v>
      </c>
      <c r="D27" s="12" t="n">
        <f aca="false">INDEX(Forecast!$B$2:$B$14,C27)</f>
        <v>46384</v>
      </c>
      <c r="E27" s="15" t="n">
        <f aca="false">INDEX(Forecast!$C$2:$C$14,C27)</f>
        <v>3894</v>
      </c>
      <c r="F27" s="15" t="n">
        <f aca="false">INDEX(Forecast!$F$2:$F$14,C27)</f>
        <v>2360</v>
      </c>
      <c r="G27" s="16" t="n">
        <f aca="false">IF(A27&gt;=2,CHANGE_CASES*INDEX(Assumptions!$C$22:$C$34,C27),0)</f>
        <v>0</v>
      </c>
      <c r="H27" s="10" t="n">
        <f aca="false">IF(AND(A27=3,INDEX(Assumptions!$D$22:$D$34,C27)=1),1,0)</f>
        <v>0</v>
      </c>
      <c r="I27" s="29" t="n">
        <f aca="false">1+H27*PEAK_UPLIFT</f>
        <v>1</v>
      </c>
      <c r="J27" s="30" t="n">
        <f aca="false">IF(H27=1,PEAK_SHRINK,SHRINK)</f>
        <v>0.3</v>
      </c>
      <c r="K27" s="16" t="n">
        <f aca="false">E27*I27</f>
        <v>3894</v>
      </c>
      <c r="L27" s="16" t="n">
        <f aca="false">(F27+G27)*I27</f>
        <v>2360</v>
      </c>
      <c r="M27" s="31" t="n">
        <f aca="false">K27*AHT_CALL/60+L27*(1-OUT_SHARE)*AHT_CASE/60</f>
        <v>1103.3</v>
      </c>
      <c r="N27" s="29" t="n">
        <f aca="false">CONTRACT_HRS*(1-J27)*OCC</f>
        <v>22.3125</v>
      </c>
      <c r="O27" s="32" t="n">
        <f aca="false">M27/N27</f>
        <v>49.447619047619</v>
      </c>
      <c r="P27" s="13" t="n">
        <f aca="false">INDEX(Assumptions!$F$22:$F$34,C27)</f>
        <v>65.125</v>
      </c>
      <c r="Q27" s="9" t="n">
        <f aca="false">MAX(0,O27-P27)</f>
        <v>0</v>
      </c>
      <c r="R27" s="31" t="n">
        <f aca="false">P27*OT_HRS</f>
        <v>260.5</v>
      </c>
      <c r="S27" s="31" t="n">
        <f aca="false">MAX(0,Q27*N27-R27)</f>
        <v>0</v>
      </c>
      <c r="T27" s="11" t="n">
        <f aca="false">IF(S27&gt;0,ROUNDUP(S27/N27,0),0)</f>
        <v>0</v>
      </c>
      <c r="U27" s="16" t="n">
        <f aca="false">L27*OUT_SHARE</f>
        <v>590</v>
      </c>
      <c r="V27" s="10" t="n">
        <f aca="false">IF(U27&gt;PROV_CAP,1,0)</f>
        <v>0</v>
      </c>
    </row>
    <row r="28" customFormat="false" ht="15" hidden="false" customHeight="false" outlineLevel="0" collapsed="false">
      <c r="A28" s="10" t="n">
        <v>3</v>
      </c>
      <c r="B28" s="8" t="s">
        <v>30</v>
      </c>
      <c r="C28" s="10" t="n">
        <v>1</v>
      </c>
      <c r="D28" s="12" t="n">
        <f aca="false">INDEX(Forecast!$B$2:$B$14,C28)</f>
        <v>46300</v>
      </c>
      <c r="E28" s="15" t="n">
        <f aca="false">INDEX(Forecast!$C$2:$C$14,C28)</f>
        <v>4558</v>
      </c>
      <c r="F28" s="15" t="n">
        <f aca="false">INDEX(Forecast!$F$2:$F$14,C28)</f>
        <v>2855</v>
      </c>
      <c r="G28" s="16" t="n">
        <f aca="false">IF(A28&gt;=2,CHANGE_CASES*INDEX(Assumptions!$C$22:$C$34,C28),0)</f>
        <v>0</v>
      </c>
      <c r="H28" s="10" t="n">
        <f aca="false">IF(AND(A28=3,INDEX(Assumptions!$D$22:$D$34,C28)=1),1,0)</f>
        <v>0</v>
      </c>
      <c r="I28" s="29" t="n">
        <f aca="false">1+H28*PEAK_UPLIFT</f>
        <v>1</v>
      </c>
      <c r="J28" s="30" t="n">
        <f aca="false">IF(H28=1,PEAK_SHRINK,SHRINK)</f>
        <v>0.3</v>
      </c>
      <c r="K28" s="16" t="n">
        <f aca="false">E28*I28</f>
        <v>4558</v>
      </c>
      <c r="L28" s="16" t="n">
        <f aca="false">(F28+G28)*I28</f>
        <v>2855</v>
      </c>
      <c r="M28" s="31" t="n">
        <f aca="false">K28*AHT_CALL/60+L28*(1-OUT_SHARE)*AHT_CASE/60</f>
        <v>1316.89166666667</v>
      </c>
      <c r="N28" s="29" t="n">
        <f aca="false">CONTRACT_HRS*(1-J28)*OCC</f>
        <v>22.3125</v>
      </c>
      <c r="O28" s="32" t="n">
        <f aca="false">M28/N28</f>
        <v>59.0203548085901</v>
      </c>
      <c r="P28" s="13" t="n">
        <f aca="false">INDEX(Assumptions!$F$22:$F$34,C28)</f>
        <v>64.125</v>
      </c>
      <c r="Q28" s="9" t="n">
        <f aca="false">MAX(0,O28-P28)</f>
        <v>0</v>
      </c>
      <c r="R28" s="31" t="n">
        <f aca="false">P28*OT_HRS</f>
        <v>256.5</v>
      </c>
      <c r="S28" s="31" t="n">
        <f aca="false">MAX(0,Q28*N28-R28)</f>
        <v>0</v>
      </c>
      <c r="T28" s="11" t="n">
        <f aca="false">IF(S28&gt;0,ROUNDUP(S28/N28,0),0)</f>
        <v>0</v>
      </c>
      <c r="U28" s="16" t="n">
        <f aca="false">L28*OUT_SHARE</f>
        <v>713.75</v>
      </c>
      <c r="V28" s="10" t="n">
        <f aca="false">IF(U28&gt;PROV_CAP,1,0)</f>
        <v>0</v>
      </c>
    </row>
    <row r="29" customFormat="false" ht="15" hidden="false" customHeight="false" outlineLevel="0" collapsed="false">
      <c r="A29" s="10" t="n">
        <v>3</v>
      </c>
      <c r="B29" s="8" t="s">
        <v>30</v>
      </c>
      <c r="C29" s="10" t="n">
        <v>2</v>
      </c>
      <c r="D29" s="12" t="n">
        <f aca="false">INDEX(Forecast!$B$2:$B$14,C29)</f>
        <v>46307</v>
      </c>
      <c r="E29" s="15" t="n">
        <f aca="false">INDEX(Forecast!$C$2:$C$14,C29)</f>
        <v>4598</v>
      </c>
      <c r="F29" s="15" t="n">
        <f aca="false">INDEX(Forecast!$F$2:$F$14,C29)</f>
        <v>2920</v>
      </c>
      <c r="G29" s="16" t="n">
        <f aca="false">IF(A29&gt;=2,CHANGE_CASES*INDEX(Assumptions!$C$22:$C$34,C29),0)</f>
        <v>0</v>
      </c>
      <c r="H29" s="10" t="n">
        <f aca="false">IF(AND(A29=3,INDEX(Assumptions!$D$22:$D$34,C29)=1),1,0)</f>
        <v>0</v>
      </c>
      <c r="I29" s="29" t="n">
        <f aca="false">1+H29*PEAK_UPLIFT</f>
        <v>1</v>
      </c>
      <c r="J29" s="30" t="n">
        <f aca="false">IF(H29=1,PEAK_SHRINK,SHRINK)</f>
        <v>0.3</v>
      </c>
      <c r="K29" s="16" t="n">
        <f aca="false">E29*I29</f>
        <v>4598</v>
      </c>
      <c r="L29" s="16" t="n">
        <f aca="false">(F29+G29)*I29</f>
        <v>2920</v>
      </c>
      <c r="M29" s="31" t="n">
        <f aca="false">K29*AHT_CALL/60+L29*(1-OUT_SHARE)*AHT_CASE/60</f>
        <v>1339.43333333333</v>
      </c>
      <c r="N29" s="29" t="n">
        <f aca="false">CONTRACT_HRS*(1-J29)*OCC</f>
        <v>22.3125</v>
      </c>
      <c r="O29" s="32" t="n">
        <f aca="false">M29/N29</f>
        <v>60.0306255835668</v>
      </c>
      <c r="P29" s="13" t="n">
        <f aca="false">INDEX(Assumptions!$F$22:$F$34,C29)</f>
        <v>64.125</v>
      </c>
      <c r="Q29" s="9" t="n">
        <f aca="false">MAX(0,O29-P29)</f>
        <v>0</v>
      </c>
      <c r="R29" s="31" t="n">
        <f aca="false">P29*OT_HRS</f>
        <v>256.5</v>
      </c>
      <c r="S29" s="31" t="n">
        <f aca="false">MAX(0,Q29*N29-R29)</f>
        <v>0</v>
      </c>
      <c r="T29" s="11" t="n">
        <f aca="false">IF(S29&gt;0,ROUNDUP(S29/N29,0),0)</f>
        <v>0</v>
      </c>
      <c r="U29" s="16" t="n">
        <f aca="false">L29*OUT_SHARE</f>
        <v>730</v>
      </c>
      <c r="V29" s="10" t="n">
        <f aca="false">IF(U29&gt;PROV_CAP,1,0)</f>
        <v>0</v>
      </c>
    </row>
    <row r="30" customFormat="false" ht="15" hidden="false" customHeight="false" outlineLevel="0" collapsed="false">
      <c r="A30" s="10" t="n">
        <v>3</v>
      </c>
      <c r="B30" s="8" t="s">
        <v>30</v>
      </c>
      <c r="C30" s="10" t="n">
        <v>3</v>
      </c>
      <c r="D30" s="12" t="n">
        <f aca="false">INDEX(Forecast!$B$2:$B$14,C30)</f>
        <v>46314</v>
      </c>
      <c r="E30" s="15" t="n">
        <f aca="false">INDEX(Forecast!$C$2:$C$14,C30)</f>
        <v>4737</v>
      </c>
      <c r="F30" s="15" t="n">
        <f aca="false">INDEX(Forecast!$F$2:$F$14,C30)</f>
        <v>2993</v>
      </c>
      <c r="G30" s="16" t="n">
        <f aca="false">IF(A30&gt;=2,CHANGE_CASES*INDEX(Assumptions!$C$22:$C$34,C30),0)</f>
        <v>0</v>
      </c>
      <c r="H30" s="10" t="n">
        <f aca="false">IF(AND(A30=3,INDEX(Assumptions!$D$22:$D$34,C30)=1),1,0)</f>
        <v>0</v>
      </c>
      <c r="I30" s="29" t="n">
        <f aca="false">1+H30*PEAK_UPLIFT</f>
        <v>1</v>
      </c>
      <c r="J30" s="30" t="n">
        <f aca="false">IF(H30=1,PEAK_SHRINK,SHRINK)</f>
        <v>0.3</v>
      </c>
      <c r="K30" s="16" t="n">
        <f aca="false">E30*I30</f>
        <v>4737</v>
      </c>
      <c r="L30" s="16" t="n">
        <f aca="false">(F30+G30)*I30</f>
        <v>2993</v>
      </c>
      <c r="M30" s="31" t="n">
        <f aca="false">K30*AHT_CALL/60+L30*(1-OUT_SHARE)*AHT_CASE/60</f>
        <v>1375.725</v>
      </c>
      <c r="N30" s="29" t="n">
        <f aca="false">CONTRACT_HRS*(1-J30)*OCC</f>
        <v>22.3125</v>
      </c>
      <c r="O30" s="32" t="n">
        <f aca="false">M30/N30</f>
        <v>61.6571428571429</v>
      </c>
      <c r="P30" s="13" t="n">
        <f aca="false">INDEX(Assumptions!$F$22:$F$34,C30)</f>
        <v>64.125</v>
      </c>
      <c r="Q30" s="9" t="n">
        <f aca="false">MAX(0,O30-P30)</f>
        <v>0</v>
      </c>
      <c r="R30" s="31" t="n">
        <f aca="false">P30*OT_HRS</f>
        <v>256.5</v>
      </c>
      <c r="S30" s="31" t="n">
        <f aca="false">MAX(0,Q30*N30-R30)</f>
        <v>0</v>
      </c>
      <c r="T30" s="11" t="n">
        <f aca="false">IF(S30&gt;0,ROUNDUP(S30/N30,0),0)</f>
        <v>0</v>
      </c>
      <c r="U30" s="16" t="n">
        <f aca="false">L30*OUT_SHARE</f>
        <v>748.25</v>
      </c>
      <c r="V30" s="10" t="n">
        <f aca="false">IF(U30&gt;PROV_CAP,1,0)</f>
        <v>0</v>
      </c>
    </row>
    <row r="31" customFormat="false" ht="15" hidden="false" customHeight="false" outlineLevel="0" collapsed="false">
      <c r="A31" s="10" t="n">
        <v>3</v>
      </c>
      <c r="B31" s="8" t="s">
        <v>30</v>
      </c>
      <c r="C31" s="10" t="n">
        <v>4</v>
      </c>
      <c r="D31" s="12" t="n">
        <f aca="false">INDEX(Forecast!$B$2:$B$14,C31)</f>
        <v>46321</v>
      </c>
      <c r="E31" s="15" t="n">
        <f aca="false">INDEX(Forecast!$C$2:$C$14,C31)</f>
        <v>4893</v>
      </c>
      <c r="F31" s="15" t="n">
        <f aca="false">INDEX(Forecast!$F$2:$F$14,C31)</f>
        <v>2887</v>
      </c>
      <c r="G31" s="16" t="n">
        <f aca="false">IF(A31&gt;=2,CHANGE_CASES*INDEX(Assumptions!$C$22:$C$34,C31),0)</f>
        <v>140</v>
      </c>
      <c r="H31" s="10" t="n">
        <f aca="false">IF(AND(A31=3,INDEX(Assumptions!$D$22:$D$34,C31)=1),1,0)</f>
        <v>0</v>
      </c>
      <c r="I31" s="29" t="n">
        <f aca="false">1+H31*PEAK_UPLIFT</f>
        <v>1</v>
      </c>
      <c r="J31" s="30" t="n">
        <f aca="false">IF(H31=1,PEAK_SHRINK,SHRINK)</f>
        <v>0.3</v>
      </c>
      <c r="K31" s="16" t="n">
        <f aca="false">E31*I31</f>
        <v>4893</v>
      </c>
      <c r="L31" s="16" t="n">
        <f aca="false">(F31+G31)*I31</f>
        <v>3027</v>
      </c>
      <c r="M31" s="31" t="n">
        <f aca="false">K31*AHT_CALL/60+L31*(1-OUT_SHARE)*AHT_CASE/60</f>
        <v>1403.275</v>
      </c>
      <c r="N31" s="29" t="n">
        <f aca="false">CONTRACT_HRS*(1-J31)*OCC</f>
        <v>22.3125</v>
      </c>
      <c r="O31" s="32" t="n">
        <f aca="false">M31/N31</f>
        <v>62.8918767507003</v>
      </c>
      <c r="P31" s="13" t="n">
        <f aca="false">INDEX(Assumptions!$F$22:$F$34,C31)</f>
        <v>64.125</v>
      </c>
      <c r="Q31" s="9" t="n">
        <f aca="false">MAX(0,O31-P31)</f>
        <v>0</v>
      </c>
      <c r="R31" s="31" t="n">
        <f aca="false">P31*OT_HRS</f>
        <v>256.5</v>
      </c>
      <c r="S31" s="31" t="n">
        <f aca="false">MAX(0,Q31*N31-R31)</f>
        <v>0</v>
      </c>
      <c r="T31" s="11" t="n">
        <f aca="false">IF(S31&gt;0,ROUNDUP(S31/N31,0),0)</f>
        <v>0</v>
      </c>
      <c r="U31" s="16" t="n">
        <f aca="false">L31*OUT_SHARE</f>
        <v>756.75</v>
      </c>
      <c r="V31" s="10" t="n">
        <f aca="false">IF(U31&gt;PROV_CAP,1,0)</f>
        <v>0</v>
      </c>
    </row>
    <row r="32" customFormat="false" ht="15" hidden="false" customHeight="false" outlineLevel="0" collapsed="false">
      <c r="A32" s="10" t="n">
        <v>3</v>
      </c>
      <c r="B32" s="8" t="s">
        <v>30</v>
      </c>
      <c r="C32" s="10" t="n">
        <v>5</v>
      </c>
      <c r="D32" s="12" t="n">
        <f aca="false">INDEX(Forecast!$B$2:$B$14,C32)</f>
        <v>46328</v>
      </c>
      <c r="E32" s="15" t="n">
        <f aca="false">INDEX(Forecast!$C$2:$C$14,C32)</f>
        <v>4669</v>
      </c>
      <c r="F32" s="15" t="n">
        <f aca="false">INDEX(Forecast!$F$2:$F$14,C32)</f>
        <v>2919</v>
      </c>
      <c r="G32" s="16" t="n">
        <f aca="false">IF(A32&gt;=2,CHANGE_CASES*INDEX(Assumptions!$C$22:$C$34,C32),0)</f>
        <v>280</v>
      </c>
      <c r="H32" s="10" t="n">
        <f aca="false">IF(AND(A32=3,INDEX(Assumptions!$D$22:$D$34,C32)=1),1,0)</f>
        <v>0</v>
      </c>
      <c r="I32" s="29" t="n">
        <f aca="false">1+H32*PEAK_UPLIFT</f>
        <v>1</v>
      </c>
      <c r="J32" s="30" t="n">
        <f aca="false">IF(H32=1,PEAK_SHRINK,SHRINK)</f>
        <v>0.3</v>
      </c>
      <c r="K32" s="16" t="n">
        <f aca="false">E32*I32</f>
        <v>4669</v>
      </c>
      <c r="L32" s="16" t="n">
        <f aca="false">(F32+G32)*I32</f>
        <v>3199</v>
      </c>
      <c r="M32" s="31" t="n">
        <f aca="false">K32*AHT_CALL/60+L32*(1-OUT_SHARE)*AHT_CASE/60</f>
        <v>1424.44166666667</v>
      </c>
      <c r="N32" s="29" t="n">
        <f aca="false">CONTRACT_HRS*(1-J32)*OCC</f>
        <v>22.3125</v>
      </c>
      <c r="O32" s="32" t="n">
        <f aca="false">M32/N32</f>
        <v>63.840522875817</v>
      </c>
      <c r="P32" s="13" t="n">
        <f aca="false">INDEX(Assumptions!$F$22:$F$34,C32)</f>
        <v>62.125</v>
      </c>
      <c r="Q32" s="9" t="n">
        <f aca="false">MAX(0,O32-P32)</f>
        <v>1.71552287581699</v>
      </c>
      <c r="R32" s="31" t="n">
        <f aca="false">P32*OT_HRS</f>
        <v>248.5</v>
      </c>
      <c r="S32" s="31" t="n">
        <f aca="false">MAX(0,Q32*N32-R32)</f>
        <v>0</v>
      </c>
      <c r="T32" s="11" t="n">
        <f aca="false">IF(S32&gt;0,ROUNDUP(S32/N32,0),0)</f>
        <v>0</v>
      </c>
      <c r="U32" s="16" t="n">
        <f aca="false">L32*OUT_SHARE</f>
        <v>799.75</v>
      </c>
      <c r="V32" s="10" t="n">
        <f aca="false">IF(U32&gt;PROV_CAP,1,0)</f>
        <v>0</v>
      </c>
    </row>
    <row r="33" customFormat="false" ht="15" hidden="false" customHeight="false" outlineLevel="0" collapsed="false">
      <c r="A33" s="10" t="n">
        <v>3</v>
      </c>
      <c r="B33" s="8" t="s">
        <v>30</v>
      </c>
      <c r="C33" s="10" t="n">
        <v>6</v>
      </c>
      <c r="D33" s="12" t="n">
        <f aca="false">INDEX(Forecast!$B$2:$B$14,C33)</f>
        <v>46335</v>
      </c>
      <c r="E33" s="15" t="n">
        <f aca="false">INDEX(Forecast!$C$2:$C$14,C33)</f>
        <v>4653</v>
      </c>
      <c r="F33" s="15" t="n">
        <f aca="false">INDEX(Forecast!$F$2:$F$14,C33)</f>
        <v>2934</v>
      </c>
      <c r="G33" s="16" t="n">
        <f aca="false">IF(A33&gt;=2,CHANGE_CASES*INDEX(Assumptions!$C$22:$C$34,C33),0)</f>
        <v>350</v>
      </c>
      <c r="H33" s="10" t="n">
        <f aca="false">IF(AND(A33=3,INDEX(Assumptions!$D$22:$D$34,C33)=1),1,0)</f>
        <v>1</v>
      </c>
      <c r="I33" s="29" t="n">
        <f aca="false">1+H33*PEAK_UPLIFT</f>
        <v>1.1</v>
      </c>
      <c r="J33" s="30" t="n">
        <f aca="false">IF(H33=1,PEAK_SHRINK,SHRINK)</f>
        <v>0.35</v>
      </c>
      <c r="K33" s="16" t="n">
        <f aca="false">E33*I33</f>
        <v>5118.3</v>
      </c>
      <c r="L33" s="16" t="n">
        <f aca="false">(F33+G33)*I33</f>
        <v>3612.4</v>
      </c>
      <c r="M33" s="31" t="n">
        <f aca="false">K33*AHT_CALL/60+L33*(1-OUT_SHARE)*AHT_CASE/60</f>
        <v>1590.545</v>
      </c>
      <c r="N33" s="29" t="n">
        <f aca="false">CONTRACT_HRS*(1-J33)*OCC</f>
        <v>20.71875</v>
      </c>
      <c r="O33" s="32" t="n">
        <f aca="false">M33/N33</f>
        <v>76.7683861236802</v>
      </c>
      <c r="P33" s="13" t="n">
        <f aca="false">INDEX(Assumptions!$F$22:$F$34,C33)</f>
        <v>62.125</v>
      </c>
      <c r="Q33" s="9" t="n">
        <f aca="false">MAX(0,O33-P33)</f>
        <v>14.6433861236802</v>
      </c>
      <c r="R33" s="31" t="n">
        <f aca="false">P33*OT_HRS</f>
        <v>248.5</v>
      </c>
      <c r="S33" s="31" t="n">
        <f aca="false">MAX(0,Q33*N33-R33)</f>
        <v>54.8926562500001</v>
      </c>
      <c r="T33" s="11" t="n">
        <f aca="false">IF(S33&gt;0,ROUNDUP(S33/N33,0),0)</f>
        <v>3</v>
      </c>
      <c r="U33" s="16" t="n">
        <f aca="false">L33*OUT_SHARE</f>
        <v>903.1</v>
      </c>
      <c r="V33" s="10" t="n">
        <f aca="false">IF(U33&gt;PROV_CAP,1,0)</f>
        <v>1</v>
      </c>
    </row>
    <row r="34" customFormat="false" ht="15" hidden="false" customHeight="false" outlineLevel="0" collapsed="false">
      <c r="A34" s="10" t="n">
        <v>3</v>
      </c>
      <c r="B34" s="8" t="s">
        <v>30</v>
      </c>
      <c r="C34" s="10" t="n">
        <v>7</v>
      </c>
      <c r="D34" s="12" t="n">
        <f aca="false">INDEX(Forecast!$B$2:$B$14,C34)</f>
        <v>46342</v>
      </c>
      <c r="E34" s="15" t="n">
        <f aca="false">INDEX(Forecast!$C$2:$C$14,C34)</f>
        <v>4727</v>
      </c>
      <c r="F34" s="15" t="n">
        <f aca="false">INDEX(Forecast!$F$2:$F$14,C34)</f>
        <v>3031</v>
      </c>
      <c r="G34" s="16" t="n">
        <f aca="false">IF(A34&gt;=2,CHANGE_CASES*INDEX(Assumptions!$C$22:$C$34,C34),0)</f>
        <v>350</v>
      </c>
      <c r="H34" s="10" t="n">
        <f aca="false">IF(AND(A34=3,INDEX(Assumptions!$D$22:$D$34,C34)=1),1,0)</f>
        <v>1</v>
      </c>
      <c r="I34" s="29" t="n">
        <f aca="false">1+H34*PEAK_UPLIFT</f>
        <v>1.1</v>
      </c>
      <c r="J34" s="30" t="n">
        <f aca="false">IF(H34=1,PEAK_SHRINK,SHRINK)</f>
        <v>0.35</v>
      </c>
      <c r="K34" s="16" t="n">
        <f aca="false">E34*I34</f>
        <v>5199.7</v>
      </c>
      <c r="L34" s="16" t="n">
        <f aca="false">(F34+G34)*I34</f>
        <v>3719.1</v>
      </c>
      <c r="M34" s="31" t="n">
        <f aca="false">K34*AHT_CALL/60+L34*(1-OUT_SHARE)*AHT_CASE/60</f>
        <v>1629.38416666667</v>
      </c>
      <c r="N34" s="29" t="n">
        <f aca="false">CONTRACT_HRS*(1-J34)*OCC</f>
        <v>20.71875</v>
      </c>
      <c r="O34" s="32" t="n">
        <f aca="false">M34/N34</f>
        <v>78.6429763700352</v>
      </c>
      <c r="P34" s="13" t="n">
        <f aca="false">INDEX(Assumptions!$F$22:$F$34,C34)</f>
        <v>62.125</v>
      </c>
      <c r="Q34" s="9" t="n">
        <f aca="false">MAX(0,O34-P34)</f>
        <v>16.5179763700352</v>
      </c>
      <c r="R34" s="31" t="n">
        <f aca="false">P34*OT_HRS</f>
        <v>248.5</v>
      </c>
      <c r="S34" s="31" t="n">
        <f aca="false">MAX(0,Q34*N34-R34)</f>
        <v>93.7318229166668</v>
      </c>
      <c r="T34" s="11" t="n">
        <f aca="false">IF(S34&gt;0,ROUNDUP(S34/N34,0),0)</f>
        <v>5</v>
      </c>
      <c r="U34" s="16" t="n">
        <f aca="false">L34*OUT_SHARE</f>
        <v>929.775</v>
      </c>
      <c r="V34" s="10" t="n">
        <f aca="false">IF(U34&gt;PROV_CAP,1,0)</f>
        <v>1</v>
      </c>
    </row>
    <row r="35" customFormat="false" ht="15" hidden="false" customHeight="false" outlineLevel="0" collapsed="false">
      <c r="A35" s="10" t="n">
        <v>3</v>
      </c>
      <c r="B35" s="8" t="s">
        <v>30</v>
      </c>
      <c r="C35" s="10" t="n">
        <v>8</v>
      </c>
      <c r="D35" s="12" t="n">
        <f aca="false">INDEX(Forecast!$B$2:$B$14,C35)</f>
        <v>46349</v>
      </c>
      <c r="E35" s="15" t="n">
        <f aca="false">INDEX(Forecast!$C$2:$C$14,C35)</f>
        <v>5094</v>
      </c>
      <c r="F35" s="15" t="n">
        <f aca="false">INDEX(Forecast!$F$2:$F$14,C35)</f>
        <v>3148</v>
      </c>
      <c r="G35" s="16" t="n">
        <f aca="false">IF(A35&gt;=2,CHANGE_CASES*INDEX(Assumptions!$C$22:$C$34,C35),0)</f>
        <v>245</v>
      </c>
      <c r="H35" s="10" t="n">
        <f aca="false">IF(AND(A35=3,INDEX(Assumptions!$D$22:$D$34,C35)=1),1,0)</f>
        <v>1</v>
      </c>
      <c r="I35" s="29" t="n">
        <f aca="false">1+H35*PEAK_UPLIFT</f>
        <v>1.1</v>
      </c>
      <c r="J35" s="30" t="n">
        <f aca="false">IF(H35=1,PEAK_SHRINK,SHRINK)</f>
        <v>0.35</v>
      </c>
      <c r="K35" s="16" t="n">
        <f aca="false">E35*I35</f>
        <v>5603.4</v>
      </c>
      <c r="L35" s="16" t="n">
        <f aca="false">(F35+G35)*I35</f>
        <v>3732.3</v>
      </c>
      <c r="M35" s="31" t="n">
        <f aca="false">K35*AHT_CALL/60+L35*(1-OUT_SHARE)*AHT_CASE/60</f>
        <v>1680.1125</v>
      </c>
      <c r="N35" s="29" t="n">
        <f aca="false">CONTRACT_HRS*(1-J35)*OCC</f>
        <v>20.71875</v>
      </c>
      <c r="O35" s="32" t="n">
        <f aca="false">M35/N35</f>
        <v>81.0914027149321</v>
      </c>
      <c r="P35" s="13" t="n">
        <f aca="false">INDEX(Assumptions!$F$22:$F$34,C35)</f>
        <v>62.125</v>
      </c>
      <c r="Q35" s="9" t="n">
        <f aca="false">MAX(0,O35-P35)</f>
        <v>18.9664027149321</v>
      </c>
      <c r="R35" s="31" t="n">
        <f aca="false">P35*OT_HRS</f>
        <v>248.5</v>
      </c>
      <c r="S35" s="31" t="n">
        <f aca="false">MAX(0,Q35*N35-R35)</f>
        <v>144.46015625</v>
      </c>
      <c r="T35" s="11" t="n">
        <f aca="false">IF(S35&gt;0,ROUNDUP(S35/N35,0),0)</f>
        <v>7</v>
      </c>
      <c r="U35" s="16" t="n">
        <f aca="false">L35*OUT_SHARE</f>
        <v>933.075</v>
      </c>
      <c r="V35" s="10" t="n">
        <f aca="false">IF(U35&gt;PROV_CAP,1,0)</f>
        <v>1</v>
      </c>
    </row>
    <row r="36" customFormat="false" ht="15" hidden="false" customHeight="false" outlineLevel="0" collapsed="false">
      <c r="A36" s="10" t="n">
        <v>3</v>
      </c>
      <c r="B36" s="8" t="s">
        <v>30</v>
      </c>
      <c r="C36" s="10" t="n">
        <v>9</v>
      </c>
      <c r="D36" s="12" t="n">
        <f aca="false">INDEX(Forecast!$B$2:$B$14,C36)</f>
        <v>46356</v>
      </c>
      <c r="E36" s="15" t="n">
        <f aca="false">INDEX(Forecast!$C$2:$C$14,C36)</f>
        <v>4338</v>
      </c>
      <c r="F36" s="15" t="n">
        <f aca="false">INDEX(Forecast!$F$2:$F$14,C36)</f>
        <v>2832</v>
      </c>
      <c r="G36" s="16" t="n">
        <f aca="false">IF(A36&gt;=2,CHANGE_CASES*INDEX(Assumptions!$C$22:$C$34,C36),0)</f>
        <v>105</v>
      </c>
      <c r="H36" s="10" t="n">
        <f aca="false">IF(AND(A36=3,INDEX(Assumptions!$D$22:$D$34,C36)=1),1,0)</f>
        <v>1</v>
      </c>
      <c r="I36" s="29" t="n">
        <f aca="false">1+H36*PEAK_UPLIFT</f>
        <v>1.1</v>
      </c>
      <c r="J36" s="30" t="n">
        <f aca="false">IF(H36=1,PEAK_SHRINK,SHRINK)</f>
        <v>0.35</v>
      </c>
      <c r="K36" s="16" t="n">
        <f aca="false">E36*I36</f>
        <v>4771.8</v>
      </c>
      <c r="L36" s="16" t="n">
        <f aca="false">(F36+G36)*I36</f>
        <v>3230.7</v>
      </c>
      <c r="M36" s="31" t="n">
        <f aca="false">K36*AHT_CALL/60+L36*(1-OUT_SHARE)*AHT_CASE/60</f>
        <v>1445.1525</v>
      </c>
      <c r="N36" s="29" t="n">
        <f aca="false">CONTRACT_HRS*(1-J36)*OCC</f>
        <v>20.71875</v>
      </c>
      <c r="O36" s="32" t="n">
        <f aca="false">M36/N36</f>
        <v>69.7509502262443</v>
      </c>
      <c r="P36" s="13" t="n">
        <f aca="false">INDEX(Assumptions!$F$22:$F$34,C36)</f>
        <v>65.125</v>
      </c>
      <c r="Q36" s="9" t="n">
        <f aca="false">MAX(0,O36-P36)</f>
        <v>4.62595022624434</v>
      </c>
      <c r="R36" s="31" t="n">
        <f aca="false">P36*OT_HRS</f>
        <v>260.5</v>
      </c>
      <c r="S36" s="31" t="n">
        <f aca="false">MAX(0,Q36*N36-R36)</f>
        <v>0</v>
      </c>
      <c r="T36" s="11" t="n">
        <f aca="false">IF(S36&gt;0,ROUNDUP(S36/N36,0),0)</f>
        <v>0</v>
      </c>
      <c r="U36" s="16" t="n">
        <f aca="false">L36*OUT_SHARE</f>
        <v>807.675</v>
      </c>
      <c r="V36" s="10" t="n">
        <f aca="false">IF(U36&gt;PROV_CAP,1,0)</f>
        <v>1</v>
      </c>
    </row>
    <row r="37" customFormat="false" ht="15" hidden="false" customHeight="false" outlineLevel="0" collapsed="false">
      <c r="A37" s="10" t="n">
        <v>3</v>
      </c>
      <c r="B37" s="8" t="s">
        <v>30</v>
      </c>
      <c r="C37" s="10" t="n">
        <v>10</v>
      </c>
      <c r="D37" s="12" t="n">
        <f aca="false">INDEX(Forecast!$B$2:$B$14,C37)</f>
        <v>46363</v>
      </c>
      <c r="E37" s="15" t="n">
        <f aca="false">INDEX(Forecast!$C$2:$C$14,C37)</f>
        <v>4319</v>
      </c>
      <c r="F37" s="15" t="n">
        <f aca="false">INDEX(Forecast!$F$2:$F$14,C37)</f>
        <v>2794</v>
      </c>
      <c r="G37" s="16" t="n">
        <f aca="false">IF(A37&gt;=2,CHANGE_CASES*INDEX(Assumptions!$C$22:$C$34,C37),0)</f>
        <v>0</v>
      </c>
      <c r="H37" s="10" t="n">
        <f aca="false">IF(AND(A37=3,INDEX(Assumptions!$D$22:$D$34,C37)=1),1,0)</f>
        <v>1</v>
      </c>
      <c r="I37" s="29" t="n">
        <f aca="false">1+H37*PEAK_UPLIFT</f>
        <v>1.1</v>
      </c>
      <c r="J37" s="30" t="n">
        <f aca="false">IF(H37=1,PEAK_SHRINK,SHRINK)</f>
        <v>0.35</v>
      </c>
      <c r="K37" s="16" t="n">
        <f aca="false">E37*I37</f>
        <v>4750.9</v>
      </c>
      <c r="L37" s="16" t="n">
        <f aca="false">(F37+G37)*I37</f>
        <v>3073.4</v>
      </c>
      <c r="M37" s="31" t="n">
        <f aca="false">K37*AHT_CALL/60+L37*(1-OUT_SHARE)*AHT_CASE/60</f>
        <v>1399.45666666667</v>
      </c>
      <c r="N37" s="29" t="n">
        <f aca="false">CONTRACT_HRS*(1-J37)*OCC</f>
        <v>20.71875</v>
      </c>
      <c r="O37" s="32" t="n">
        <f aca="false">M37/N37</f>
        <v>67.5454198089492</v>
      </c>
      <c r="P37" s="13" t="n">
        <f aca="false">INDEX(Assumptions!$F$22:$F$34,C37)</f>
        <v>65.125</v>
      </c>
      <c r="Q37" s="9" t="n">
        <f aca="false">MAX(0,O37-P37)</f>
        <v>2.42041980894923</v>
      </c>
      <c r="R37" s="31" t="n">
        <f aca="false">P37*OT_HRS</f>
        <v>260.5</v>
      </c>
      <c r="S37" s="31" t="n">
        <f aca="false">MAX(0,Q37*N37-R37)</f>
        <v>0</v>
      </c>
      <c r="T37" s="11" t="n">
        <f aca="false">IF(S37&gt;0,ROUNDUP(S37/N37,0),0)</f>
        <v>0</v>
      </c>
      <c r="U37" s="16" t="n">
        <f aca="false">L37*OUT_SHARE</f>
        <v>768.35</v>
      </c>
      <c r="V37" s="10" t="n">
        <f aca="false">IF(U37&gt;PROV_CAP,1,0)</f>
        <v>0</v>
      </c>
    </row>
    <row r="38" customFormat="false" ht="15" hidden="false" customHeight="false" outlineLevel="0" collapsed="false">
      <c r="A38" s="10" t="n">
        <v>3</v>
      </c>
      <c r="B38" s="8" t="s">
        <v>30</v>
      </c>
      <c r="C38" s="10" t="n">
        <v>11</v>
      </c>
      <c r="D38" s="12" t="n">
        <f aca="false">INDEX(Forecast!$B$2:$B$14,C38)</f>
        <v>46370</v>
      </c>
      <c r="E38" s="15" t="n">
        <f aca="false">INDEX(Forecast!$C$2:$C$14,C38)</f>
        <v>4540</v>
      </c>
      <c r="F38" s="15" t="n">
        <f aca="false">INDEX(Forecast!$F$2:$F$14,C38)</f>
        <v>2768</v>
      </c>
      <c r="G38" s="16" t="n">
        <f aca="false">IF(A38&gt;=2,CHANGE_CASES*INDEX(Assumptions!$C$22:$C$34,C38),0)</f>
        <v>0</v>
      </c>
      <c r="H38" s="10" t="n">
        <f aca="false">IF(AND(A38=3,INDEX(Assumptions!$D$22:$D$34,C38)=1),1,0)</f>
        <v>0</v>
      </c>
      <c r="I38" s="29" t="n">
        <f aca="false">1+H38*PEAK_UPLIFT</f>
        <v>1</v>
      </c>
      <c r="J38" s="30" t="n">
        <f aca="false">IF(H38=1,PEAK_SHRINK,SHRINK)</f>
        <v>0.3</v>
      </c>
      <c r="K38" s="16" t="n">
        <f aca="false">E38*I38</f>
        <v>4540</v>
      </c>
      <c r="L38" s="16" t="n">
        <f aca="false">(F38+G38)*I38</f>
        <v>2768</v>
      </c>
      <c r="M38" s="31" t="n">
        <f aca="false">K38*AHT_CALL/60+L38*(1-OUT_SHARE)*AHT_CASE/60</f>
        <v>1290.86666666667</v>
      </c>
      <c r="N38" s="29" t="n">
        <f aca="false">CONTRACT_HRS*(1-J38)*OCC</f>
        <v>22.3125</v>
      </c>
      <c r="O38" s="32" t="n">
        <f aca="false">M38/N38</f>
        <v>57.8539682539683</v>
      </c>
      <c r="P38" s="13" t="n">
        <f aca="false">INDEX(Assumptions!$F$22:$F$34,C38)</f>
        <v>65.125</v>
      </c>
      <c r="Q38" s="9" t="n">
        <f aca="false">MAX(0,O38-P38)</f>
        <v>0</v>
      </c>
      <c r="R38" s="31" t="n">
        <f aca="false">P38*OT_HRS</f>
        <v>260.5</v>
      </c>
      <c r="S38" s="31" t="n">
        <f aca="false">MAX(0,Q38*N38-R38)</f>
        <v>0</v>
      </c>
      <c r="T38" s="11" t="n">
        <f aca="false">IF(S38&gt;0,ROUNDUP(S38/N38,0),0)</f>
        <v>0</v>
      </c>
      <c r="U38" s="16" t="n">
        <f aca="false">L38*OUT_SHARE</f>
        <v>692</v>
      </c>
      <c r="V38" s="10" t="n">
        <f aca="false">IF(U38&gt;PROV_CAP,1,0)</f>
        <v>0</v>
      </c>
    </row>
    <row r="39" customFormat="false" ht="15" hidden="false" customHeight="false" outlineLevel="0" collapsed="false">
      <c r="A39" s="10" t="n">
        <v>3</v>
      </c>
      <c r="B39" s="8" t="s">
        <v>30</v>
      </c>
      <c r="C39" s="10" t="n">
        <v>12</v>
      </c>
      <c r="D39" s="12" t="n">
        <f aca="false">INDEX(Forecast!$B$2:$B$14,C39)</f>
        <v>46377</v>
      </c>
      <c r="E39" s="15" t="n">
        <f aca="false">INDEX(Forecast!$C$2:$C$14,C39)</f>
        <v>4335</v>
      </c>
      <c r="F39" s="15" t="n">
        <f aca="false">INDEX(Forecast!$F$2:$F$14,C39)</f>
        <v>2657</v>
      </c>
      <c r="G39" s="16" t="n">
        <f aca="false">IF(A39&gt;=2,CHANGE_CASES*INDEX(Assumptions!$C$22:$C$34,C39),0)</f>
        <v>0</v>
      </c>
      <c r="H39" s="10" t="n">
        <f aca="false">IF(AND(A39=3,INDEX(Assumptions!$D$22:$D$34,C39)=1),1,0)</f>
        <v>0</v>
      </c>
      <c r="I39" s="29" t="n">
        <f aca="false">1+H39*PEAK_UPLIFT</f>
        <v>1</v>
      </c>
      <c r="J39" s="30" t="n">
        <f aca="false">IF(H39=1,PEAK_SHRINK,SHRINK)</f>
        <v>0.3</v>
      </c>
      <c r="K39" s="16" t="n">
        <f aca="false">E39*I39</f>
        <v>4335</v>
      </c>
      <c r="L39" s="16" t="n">
        <f aca="false">(F39+G39)*I39</f>
        <v>2657</v>
      </c>
      <c r="M39" s="31" t="n">
        <f aca="false">K39*AHT_CALL/60+L39*(1-OUT_SHARE)*AHT_CASE/60</f>
        <v>1236.425</v>
      </c>
      <c r="N39" s="29" t="n">
        <f aca="false">CONTRACT_HRS*(1-J39)*OCC</f>
        <v>22.3125</v>
      </c>
      <c r="O39" s="32" t="n">
        <f aca="false">M39/N39</f>
        <v>55.4140056022409</v>
      </c>
      <c r="P39" s="13" t="n">
        <f aca="false">INDEX(Assumptions!$F$22:$F$34,C39)</f>
        <v>65.125</v>
      </c>
      <c r="Q39" s="9" t="n">
        <f aca="false">MAX(0,O39-P39)</f>
        <v>0</v>
      </c>
      <c r="R39" s="31" t="n">
        <f aca="false">P39*OT_HRS</f>
        <v>260.5</v>
      </c>
      <c r="S39" s="31" t="n">
        <f aca="false">MAX(0,Q39*N39-R39)</f>
        <v>0</v>
      </c>
      <c r="T39" s="11" t="n">
        <f aca="false">IF(S39&gt;0,ROUNDUP(S39/N39,0),0)</f>
        <v>0</v>
      </c>
      <c r="U39" s="16" t="n">
        <f aca="false">L39*OUT_SHARE</f>
        <v>664.25</v>
      </c>
      <c r="V39" s="10" t="n">
        <f aca="false">IF(U39&gt;PROV_CAP,1,0)</f>
        <v>0</v>
      </c>
    </row>
    <row r="40" customFormat="false" ht="15" hidden="false" customHeight="false" outlineLevel="0" collapsed="false">
      <c r="A40" s="10" t="n">
        <v>3</v>
      </c>
      <c r="B40" s="8" t="s">
        <v>30</v>
      </c>
      <c r="C40" s="10" t="n">
        <v>13</v>
      </c>
      <c r="D40" s="12" t="n">
        <f aca="false">INDEX(Forecast!$B$2:$B$14,C40)</f>
        <v>46384</v>
      </c>
      <c r="E40" s="15" t="n">
        <f aca="false">INDEX(Forecast!$C$2:$C$14,C40)</f>
        <v>3894</v>
      </c>
      <c r="F40" s="15" t="n">
        <f aca="false">INDEX(Forecast!$F$2:$F$14,C40)</f>
        <v>2360</v>
      </c>
      <c r="G40" s="16" t="n">
        <f aca="false">IF(A40&gt;=2,CHANGE_CASES*INDEX(Assumptions!$C$22:$C$34,C40),0)</f>
        <v>0</v>
      </c>
      <c r="H40" s="10" t="n">
        <f aca="false">IF(AND(A40=3,INDEX(Assumptions!$D$22:$D$34,C40)=1),1,0)</f>
        <v>0</v>
      </c>
      <c r="I40" s="29" t="n">
        <f aca="false">1+H40*PEAK_UPLIFT</f>
        <v>1</v>
      </c>
      <c r="J40" s="30" t="n">
        <f aca="false">IF(H40=1,PEAK_SHRINK,SHRINK)</f>
        <v>0.3</v>
      </c>
      <c r="K40" s="16" t="n">
        <f aca="false">E40*I40</f>
        <v>3894</v>
      </c>
      <c r="L40" s="16" t="n">
        <f aca="false">(F40+G40)*I40</f>
        <v>2360</v>
      </c>
      <c r="M40" s="31" t="n">
        <f aca="false">K40*AHT_CALL/60+L40*(1-OUT_SHARE)*AHT_CASE/60</f>
        <v>1103.3</v>
      </c>
      <c r="N40" s="29" t="n">
        <f aca="false">CONTRACT_HRS*(1-J40)*OCC</f>
        <v>22.3125</v>
      </c>
      <c r="O40" s="32" t="n">
        <f aca="false">M40/N40</f>
        <v>49.447619047619</v>
      </c>
      <c r="P40" s="13" t="n">
        <f aca="false">INDEX(Assumptions!$F$22:$F$34,C40)</f>
        <v>65.125</v>
      </c>
      <c r="Q40" s="9" t="n">
        <f aca="false">MAX(0,O40-P40)</f>
        <v>0</v>
      </c>
      <c r="R40" s="31" t="n">
        <f aca="false">P40*OT_HRS</f>
        <v>260.5</v>
      </c>
      <c r="S40" s="31" t="n">
        <f aca="false">MAX(0,Q40*N40-R40)</f>
        <v>0</v>
      </c>
      <c r="T40" s="11" t="n">
        <f aca="false">IF(S40&gt;0,ROUNDUP(S40/N40,0),0)</f>
        <v>0</v>
      </c>
      <c r="U40" s="16" t="n">
        <f aca="false">L40*OUT_SHARE</f>
        <v>590</v>
      </c>
      <c r="V40" s="10" t="n">
        <f aca="false">IF(U40&gt;PROV_CAP,1,0)</f>
        <v>0</v>
      </c>
    </row>
  </sheetData>
  <conditionalFormatting sqref="Q2:Q40">
    <cfRule type="cellIs" priority="2" operator="greaterThan" aboveAverage="0" equalAverage="0" bottom="0" percent="0" rank="0" text="" dxfId="0">
      <formula>0</formula>
    </cfRule>
  </conditionalFormatting>
  <conditionalFormatting sqref="V2:V40">
    <cfRule type="cellIs" priority="3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7" t="s">
        <v>93</v>
      </c>
    </row>
    <row r="2" customFormat="false" ht="15" hidden="false" customHeight="false" outlineLevel="0" collapsed="false">
      <c r="A2" s="8" t="s">
        <v>94</v>
      </c>
      <c r="B2" s="18" t="n">
        <v>10</v>
      </c>
    </row>
    <row r="4" customFormat="false" ht="31.5" hidden="false" customHeight="true" outlineLevel="0" collapsed="false">
      <c r="A4" s="7" t="s">
        <v>32</v>
      </c>
      <c r="B4" s="7" t="s">
        <v>95</v>
      </c>
      <c r="C4" s="7" t="s">
        <v>70</v>
      </c>
      <c r="D4" s="7" t="s">
        <v>96</v>
      </c>
      <c r="E4" s="7" t="s">
        <v>97</v>
      </c>
      <c r="F4" s="7" t="s">
        <v>98</v>
      </c>
      <c r="G4" s="7" t="s">
        <v>99</v>
      </c>
      <c r="H4" s="7" t="s">
        <v>100</v>
      </c>
      <c r="I4" s="7" t="s">
        <v>101</v>
      </c>
    </row>
    <row r="5" customFormat="false" ht="15" hidden="false" customHeight="false" outlineLevel="0" collapsed="false">
      <c r="A5" s="28" t="n">
        <v>46209</v>
      </c>
      <c r="B5" s="22" t="n">
        <v>4241</v>
      </c>
      <c r="C5" s="22" t="n">
        <v>4205</v>
      </c>
      <c r="D5" s="30" t="n">
        <f aca="false">(B5-C5)/B5</f>
        <v>0.0084885640179203</v>
      </c>
      <c r="E5" s="10" t="str">
        <f aca="false">IF(ABS(D5)*100&gt;$B$2,"CHECK","OK")</f>
        <v>OK</v>
      </c>
      <c r="F5" s="22" t="n">
        <v>2583</v>
      </c>
      <c r="G5" s="22" t="n">
        <v>2603</v>
      </c>
      <c r="H5" s="30" t="n">
        <f aca="false">(F5-G5)/F5</f>
        <v>-0.00774293457220287</v>
      </c>
      <c r="I5" s="10" t="str">
        <f aca="false">IF(ABS(H5)*100&gt;$B$2,"CHECK","OK")</f>
        <v>OK</v>
      </c>
    </row>
    <row r="6" customFormat="false" ht="15" hidden="false" customHeight="false" outlineLevel="0" collapsed="false">
      <c r="A6" s="28" t="n">
        <v>46216</v>
      </c>
      <c r="B6" s="22" t="n">
        <v>4064</v>
      </c>
      <c r="C6" s="22" t="n">
        <v>4187</v>
      </c>
      <c r="D6" s="30" t="n">
        <f aca="false">(B6-C6)/B6</f>
        <v>-0.0302657480314961</v>
      </c>
      <c r="E6" s="10" t="str">
        <f aca="false">IF(ABS(D6)*100&gt;$B$2,"CHECK","OK")</f>
        <v>OK</v>
      </c>
      <c r="F6" s="22" t="n">
        <v>2771</v>
      </c>
      <c r="G6" s="22" t="n">
        <v>2776</v>
      </c>
      <c r="H6" s="30" t="n">
        <f aca="false">(F6-G6)/F6</f>
        <v>-0.00180440274269217</v>
      </c>
      <c r="I6" s="10" t="str">
        <f aca="false">IF(ABS(H6)*100&gt;$B$2,"CHECK","OK")</f>
        <v>OK</v>
      </c>
    </row>
    <row r="7" customFormat="false" ht="15" hidden="false" customHeight="false" outlineLevel="0" collapsed="false">
      <c r="A7" s="28" t="n">
        <v>46223</v>
      </c>
      <c r="B7" s="22" t="n">
        <v>4131</v>
      </c>
      <c r="C7" s="22" t="n">
        <v>4325</v>
      </c>
      <c r="D7" s="30" t="n">
        <f aca="false">(B7-C7)/B7</f>
        <v>-0.046961994674413</v>
      </c>
      <c r="E7" s="10" t="str">
        <f aca="false">IF(ABS(D7)*100&gt;$B$2,"CHECK","OK")</f>
        <v>OK</v>
      </c>
      <c r="F7" s="22" t="n">
        <v>2356</v>
      </c>
      <c r="G7" s="22" t="n">
        <v>2507</v>
      </c>
      <c r="H7" s="30" t="n">
        <f aca="false">(F7-G7)/F7</f>
        <v>-0.0640916808149406</v>
      </c>
      <c r="I7" s="10" t="str">
        <f aca="false">IF(ABS(H7)*100&gt;$B$2,"CHECK","OK")</f>
        <v>OK</v>
      </c>
    </row>
    <row r="8" customFormat="false" ht="15" hidden="false" customHeight="false" outlineLevel="0" collapsed="false">
      <c r="A8" s="28" t="n">
        <v>46230</v>
      </c>
      <c r="B8" s="22" t="n">
        <v>4347</v>
      </c>
      <c r="C8" s="22" t="n">
        <v>4049</v>
      </c>
      <c r="D8" s="30" t="n">
        <f aca="false">(B8-C8)/B8</f>
        <v>0.0685530250747642</v>
      </c>
      <c r="E8" s="10" t="str">
        <f aca="false">IF(ABS(D8)*100&gt;$B$2,"CHECK","OK")</f>
        <v>OK</v>
      </c>
      <c r="F8" s="22" t="n">
        <v>2817</v>
      </c>
      <c r="G8" s="22" t="n">
        <v>2559</v>
      </c>
      <c r="H8" s="30" t="n">
        <f aca="false">(F8-G8)/F8</f>
        <v>0.0915867944621938</v>
      </c>
      <c r="I8" s="10" t="str">
        <f aca="false">IF(ABS(H8)*100&gt;$B$2,"CHECK","OK")</f>
        <v>OK</v>
      </c>
    </row>
    <row r="9" customFormat="false" ht="15" hidden="false" customHeight="false" outlineLevel="0" collapsed="false">
      <c r="A9" s="28" t="n">
        <v>46237</v>
      </c>
      <c r="B9" s="22" t="n">
        <v>4090</v>
      </c>
      <c r="C9" s="22" t="n">
        <v>3977</v>
      </c>
      <c r="D9" s="30" t="n">
        <f aca="false">(B9-C9)/B9</f>
        <v>0.0276283618581907</v>
      </c>
      <c r="E9" s="10" t="str">
        <f aca="false">IF(ABS(D9)*100&gt;$B$2,"CHECK","OK")</f>
        <v>OK</v>
      </c>
      <c r="F9" s="22" t="n">
        <v>2449</v>
      </c>
      <c r="G9" s="22" t="n">
        <v>2491</v>
      </c>
      <c r="H9" s="30" t="n">
        <f aca="false">(F9-G9)/F9</f>
        <v>-0.0171498570845243</v>
      </c>
      <c r="I9" s="10" t="str">
        <f aca="false">IF(ABS(H9)*100&gt;$B$2,"CHECK","OK")</f>
        <v>OK</v>
      </c>
    </row>
    <row r="10" customFormat="false" ht="15" hidden="false" customHeight="false" outlineLevel="0" collapsed="false">
      <c r="A10" s="28" t="n">
        <v>46244</v>
      </c>
      <c r="B10" s="22" t="n">
        <v>4295</v>
      </c>
      <c r="C10" s="22" t="n">
        <v>3979</v>
      </c>
      <c r="D10" s="30" t="n">
        <f aca="false">(B10-C10)/B10</f>
        <v>0.0735739231664726</v>
      </c>
      <c r="E10" s="10" t="str">
        <f aca="false">IF(ABS(D10)*100&gt;$B$2,"CHECK","OK")</f>
        <v>OK</v>
      </c>
      <c r="F10" s="22" t="n">
        <v>2484</v>
      </c>
      <c r="G10" s="22" t="n">
        <v>2615</v>
      </c>
      <c r="H10" s="30" t="n">
        <f aca="false">(F10-G10)/F10</f>
        <v>-0.0527375201288245</v>
      </c>
      <c r="I10" s="10" t="str">
        <f aca="false">IF(ABS(H10)*100&gt;$B$2,"CHECK","OK")</f>
        <v>OK</v>
      </c>
    </row>
    <row r="11" customFormat="false" ht="15" hidden="false" customHeight="false" outlineLevel="0" collapsed="false">
      <c r="A11" s="28" t="n">
        <v>46251</v>
      </c>
      <c r="B11" s="22" t="n">
        <v>4144</v>
      </c>
      <c r="C11" s="22" t="n">
        <v>4015</v>
      </c>
      <c r="D11" s="30" t="n">
        <f aca="false">(B11-C11)/B11</f>
        <v>0.0311293436293436</v>
      </c>
      <c r="E11" s="10" t="str">
        <f aca="false">IF(ABS(D11)*100&gt;$B$2,"CHECK","OK")</f>
        <v>OK</v>
      </c>
      <c r="F11" s="22" t="n">
        <v>2365</v>
      </c>
      <c r="G11" s="22" t="n">
        <v>2506</v>
      </c>
      <c r="H11" s="30" t="n">
        <f aca="false">(F11-G11)/F11</f>
        <v>-0.0596194503171247</v>
      </c>
      <c r="I11" s="10" t="str">
        <f aca="false">IF(ABS(H11)*100&gt;$B$2,"CHECK","OK")</f>
        <v>OK</v>
      </c>
    </row>
    <row r="12" customFormat="false" ht="15" hidden="false" customHeight="false" outlineLevel="0" collapsed="false">
      <c r="A12" s="28" t="n">
        <v>46258</v>
      </c>
      <c r="B12" s="22" t="n">
        <v>4340</v>
      </c>
      <c r="C12" s="22" t="n">
        <v>4436</v>
      </c>
      <c r="D12" s="30" t="n">
        <f aca="false">(B12-C12)/B12</f>
        <v>-0.0221198156682028</v>
      </c>
      <c r="E12" s="10" t="str">
        <f aca="false">IF(ABS(D12)*100&gt;$B$2,"CHECK","OK")</f>
        <v>OK</v>
      </c>
      <c r="F12" s="22" t="n">
        <v>2600</v>
      </c>
      <c r="G12" s="22" t="n">
        <v>2620</v>
      </c>
      <c r="H12" s="30" t="n">
        <f aca="false">(F12-G12)/F12</f>
        <v>-0.00769230769230769</v>
      </c>
      <c r="I12" s="10" t="str">
        <f aca="false">IF(ABS(H12)*100&gt;$B$2,"CHECK","OK")</f>
        <v>OK</v>
      </c>
    </row>
    <row r="13" customFormat="false" ht="15" hidden="false" customHeight="false" outlineLevel="0" collapsed="false">
      <c r="A13" s="28" t="n">
        <v>46265</v>
      </c>
      <c r="B13" s="22" t="n">
        <v>4395</v>
      </c>
      <c r="C13" s="22" t="n">
        <v>4473</v>
      </c>
      <c r="D13" s="30" t="n">
        <f aca="false">(B13-C13)/B13</f>
        <v>-0.0177474402730375</v>
      </c>
      <c r="E13" s="10" t="str">
        <f aca="false">IF(ABS(D13)*100&gt;$B$2,"CHECK","OK")</f>
        <v>OK</v>
      </c>
      <c r="F13" s="22" t="n">
        <v>3026</v>
      </c>
      <c r="G13" s="22" t="n">
        <v>2923</v>
      </c>
      <c r="H13" s="30" t="n">
        <f aca="false">(F13-G13)/F13</f>
        <v>0.0340383344348976</v>
      </c>
      <c r="I13" s="10" t="str">
        <f aca="false">IF(ABS(H13)*100&gt;$B$2,"CHECK","OK")</f>
        <v>OK</v>
      </c>
    </row>
    <row r="14" customFormat="false" ht="15" hidden="false" customHeight="false" outlineLevel="0" collapsed="false">
      <c r="A14" s="28" t="n">
        <v>46272</v>
      </c>
      <c r="B14" s="22" t="n">
        <v>4286</v>
      </c>
      <c r="C14" s="22" t="n">
        <v>4564</v>
      </c>
      <c r="D14" s="30" t="n">
        <f aca="false">(B14-C14)/B14</f>
        <v>-0.0648623425104993</v>
      </c>
      <c r="E14" s="10" t="str">
        <f aca="false">IF(ABS(D14)*100&gt;$B$2,"CHECK","OK")</f>
        <v>OK</v>
      </c>
      <c r="F14" s="22" t="n">
        <v>2921</v>
      </c>
      <c r="G14" s="22" t="n">
        <v>2720</v>
      </c>
      <c r="H14" s="30" t="n">
        <f aca="false">(F14-G14)/F14</f>
        <v>0.0688120506675796</v>
      </c>
      <c r="I14" s="10" t="str">
        <f aca="false">IF(ABS(H14)*100&gt;$B$2,"CHECK","OK")</f>
        <v>OK</v>
      </c>
    </row>
    <row r="15" customFormat="false" ht="15" hidden="false" customHeight="false" outlineLevel="0" collapsed="false">
      <c r="A15" s="28" t="n">
        <v>46279</v>
      </c>
      <c r="B15" s="22" t="n">
        <v>4497</v>
      </c>
      <c r="C15" s="22" t="n">
        <v>4670</v>
      </c>
      <c r="D15" s="30" t="n">
        <f aca="false">(B15-C15)/B15</f>
        <v>-0.0384700911718924</v>
      </c>
      <c r="E15" s="10" t="str">
        <f aca="false">IF(ABS(D15)*100&gt;$B$2,"CHECK","OK")</f>
        <v>OK</v>
      </c>
      <c r="F15" s="22" t="n">
        <v>3096</v>
      </c>
      <c r="G15" s="22" t="n">
        <v>2792</v>
      </c>
      <c r="H15" s="30" t="n">
        <f aca="false">(F15-G15)/F15</f>
        <v>0.0981912144702842</v>
      </c>
      <c r="I15" s="10" t="str">
        <f aca="false">IF(ABS(H15)*100&gt;$B$2,"CHECK","OK")</f>
        <v>OK</v>
      </c>
    </row>
    <row r="16" customFormat="false" ht="15" hidden="false" customHeight="false" outlineLevel="0" collapsed="false">
      <c r="A16" s="28" t="n">
        <v>46286</v>
      </c>
      <c r="B16" s="22" t="n">
        <v>4853</v>
      </c>
      <c r="C16" s="22" t="n">
        <v>4806</v>
      </c>
      <c r="D16" s="30" t="n">
        <f aca="false">(B16-C16)/B16</f>
        <v>0.00968473109416856</v>
      </c>
      <c r="E16" s="10" t="str">
        <f aca="false">IF(ABS(D16)*100&gt;$B$2,"CHECK","OK")</f>
        <v>OK</v>
      </c>
      <c r="F16" s="22" t="n">
        <v>3193</v>
      </c>
      <c r="G16" s="22" t="n">
        <v>2922</v>
      </c>
      <c r="H16" s="30" t="n">
        <f aca="false">(F16-G16)/F16</f>
        <v>0.0848731600375822</v>
      </c>
      <c r="I16" s="10" t="str">
        <f aca="false">IF(ABS(H16)*100&gt;$B$2,"CHECK","OK")</f>
        <v>OK</v>
      </c>
    </row>
    <row r="17" customFormat="false" ht="15" hidden="false" customHeight="false" outlineLevel="0" collapsed="false">
      <c r="A17" s="28" t="n">
        <v>46293</v>
      </c>
      <c r="B17" s="22" t="n">
        <v>5075</v>
      </c>
      <c r="C17" s="22" t="n">
        <v>4810</v>
      </c>
      <c r="D17" s="30" t="n">
        <f aca="false">(B17-C17)/B17</f>
        <v>0.0522167487684729</v>
      </c>
      <c r="E17" s="10" t="str">
        <f aca="false">IF(ABS(D17)*100&gt;$B$2,"CHECK","OK")</f>
        <v>OK</v>
      </c>
      <c r="F17" s="22" t="n">
        <v>2963</v>
      </c>
      <c r="G17" s="22" t="n">
        <v>2700</v>
      </c>
      <c r="H17" s="30" t="n">
        <f aca="false">(F17-G17)/F17</f>
        <v>0.088761390482619</v>
      </c>
      <c r="I17" s="10" t="str">
        <f aca="false">IF(ABS(H17)*100&gt;$B$2,"CHECK","OK")</f>
        <v>OK</v>
      </c>
    </row>
    <row r="19" customFormat="false" ht="15" hidden="false" customHeight="false" outlineLevel="0" collapsed="false">
      <c r="A19" s="33" t="s">
        <v>102</v>
      </c>
      <c r="D19" s="34" t="n">
        <f aca="false">SUMPRODUCT(ABS(D5:D17))/COUNT(D5:D17)</f>
        <v>0.0378232407645288</v>
      </c>
      <c r="H19" s="34" t="n">
        <f aca="false">SUMPRODUCT(ABS(H5:H17))/COUNT(H5:H17)</f>
        <v>0.0520846998390595</v>
      </c>
    </row>
    <row r="20" customFormat="false" ht="15" hidden="false" customHeight="false" outlineLevel="0" collapsed="false">
      <c r="A20" s="33" t="s">
        <v>103</v>
      </c>
      <c r="D20" s="34" t="n">
        <f aca="false">(SUM(C5:C17)-SUM(B5:B17))/SUM(B5:B17)</f>
        <v>-0.00461608936185207</v>
      </c>
      <c r="H20" s="34" t="n">
        <f aca="false">(SUM(G5:G17)-SUM(F5:F17))/SUM(F5:F17)</f>
        <v>-0.0249831574219627</v>
      </c>
    </row>
    <row r="22" customFormat="false" ht="15" hidden="false" customHeight="false" outlineLevel="0" collapsed="false">
      <c r="A22" s="2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2026-10-02T01:33:20Z</dcterms:created>
  <dc:creator>Siddhant Gadhe</dc:creator>
  <dc:description/>
  <dc:language>en-US</dc:language>
  <cp:lastModifiedBy>Siddhant Gadhe</cp:lastModifiedBy>
  <dcterms:modified xsi:type="dcterms:W3CDTF">2026-10-02T01:33:24Z</dcterms:modified>
  <cp:revision>1</cp:revision>
  <dc:subject/>
  <dc:title>Service Operations Planning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